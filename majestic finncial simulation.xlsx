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ee263f16f7e80d/xproject/"/>
    </mc:Choice>
  </mc:AlternateContent>
  <xr:revisionPtr revIDLastSave="1454" documentId="8_{D08BB04A-0629-4A7E-8B90-DCED3135A34E}" xr6:coauthVersionLast="47" xr6:coauthVersionMax="47" xr10:uidLastSave="{E9D644D0-CE77-4616-BEA2-B4751ED88601}"/>
  <bookViews>
    <workbookView xWindow="-120" yWindow="-120" windowWidth="29040" windowHeight="15720" tabRatio="688" activeTab="2" xr2:uid="{14BCB4C6-81BD-4FD4-A446-4A5F891BC0BA}"/>
  </bookViews>
  <sheets>
    <sheet name="basic" sheetId="1" r:id="rId1"/>
    <sheet name="variables" sheetId="4" r:id="rId2"/>
    <sheet name="ANALYSIS" sheetId="9" r:id="rId3"/>
    <sheet name="Income FRESH24" sheetId="2" r:id="rId4"/>
    <sheet name="Cash flow FRESH24" sheetId="3" r:id="rId5"/>
    <sheet name="loan 1 FRESH24" sheetId="7" r:id="rId6"/>
    <sheet name="Income MAJESTIC" sheetId="5" r:id="rId7"/>
    <sheet name="Cash flow MAJESTIC" sheetId="6" r:id="rId8"/>
    <sheet name="loan 1Majestic" sheetId="8" r:id="rId9"/>
  </sheets>
  <definedNames>
    <definedName name="__123Graph_A" hidden="1">#REF!</definedName>
    <definedName name="__123Graph_B" hidden="1">#REF!</definedName>
    <definedName name="__123Graph_X" hidden="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FALSE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Fill" hidden="1">#REF!</definedName>
    <definedName name="_xlnm._FilterDatabase" hidden="1">#REF!</definedName>
    <definedName name="_FleetOverview" hidden="1">#REF!</definedName>
    <definedName name="_Key1" hidden="1">#REF!</definedName>
    <definedName name="_Order1" hidden="1">255</definedName>
    <definedName name="_Order2" hidden="1">255</definedName>
    <definedName name="_Sort" hidden="1">#REF!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AC_DEPOSITS">#REF!</definedName>
    <definedName name="Access_Button" hidden="1">"Customer_Service_Customer_Service__2__List"</definedName>
    <definedName name="AccessDatabase" hidden="1">"C:\My Documents\Plan\CY01 by Location\Customer Service\Customer Service.mdb"</definedName>
    <definedName name="ACRegion">#REF!</definedName>
    <definedName name="ACT1_LF">#REF!</definedName>
    <definedName name="ACT2_LF">#REF!</definedName>
    <definedName name="adafa" localSheetId="4" hidden="1">{#N/A,#N/A,FALSE,"Sheet1"}</definedName>
    <definedName name="adafa" localSheetId="7" hidden="1">{#N/A,#N/A,FALSE,"Sheet1"}</definedName>
    <definedName name="adafa" localSheetId="5" hidden="1">{#N/A,#N/A,FALSE,"Sheet1"}</definedName>
    <definedName name="adafa" localSheetId="8" hidden="1">{#N/A,#N/A,FALSE,"Sheet1"}</definedName>
    <definedName name="adafa" hidden="1">{#N/A,#N/A,FALSE,"Sheet1"}</definedName>
    <definedName name="AMZ_OTHER">#REF!</definedName>
    <definedName name="AMZ_OTHER_CC">#REF!</definedName>
    <definedName name="AMZ_STATIONS">#REF!</definedName>
    <definedName name="AMZ_TO">#REF!</definedName>
    <definedName name="AMZ_WAGES">#REF!</definedName>
    <definedName name="AMZ_WAGES_CC">#REF!</definedName>
    <definedName name="amzAOs">#REF!</definedName>
    <definedName name="ANC_INCREASE_All_Markets">#REF!</definedName>
    <definedName name="AnzahlTeilvorgänge" hidden="1">8</definedName>
    <definedName name="AO_GA">#REF!</definedName>
    <definedName name="are" localSheetId="4" hidden="1">{#N/A,#N/A,FALSE,"Sheet1"}</definedName>
    <definedName name="are" localSheetId="7" hidden="1">{#N/A,#N/A,FALSE,"Sheet1"}</definedName>
    <definedName name="are" localSheetId="5" hidden="1">{#N/A,#N/A,FALSE,"Sheet1"}</definedName>
    <definedName name="are" localSheetId="8" hidden="1">{#N/A,#N/A,FALSE,"Sheet1"}</definedName>
    <definedName name="are" hidden="1">{#N/A,#N/A,FALSE,"Sheet1"}</definedName>
    <definedName name="as" localSheetId="4" hidden="1">{#N/A,#N/A,FALSE,"Sheet1"}</definedName>
    <definedName name="as" localSheetId="7" hidden="1">{#N/A,#N/A,FALSE,"Sheet1"}</definedName>
    <definedName name="as" localSheetId="5" hidden="1">{#N/A,#N/A,FALSE,"Sheet1"}</definedName>
    <definedName name="as" localSheetId="8" hidden="1">{#N/A,#N/A,FALSE,"Sheet1"}</definedName>
    <definedName name="as" hidden="1">{#N/A,#N/A,FALSE,"Sheet1"}</definedName>
    <definedName name="ATR72_LF">#REF!</definedName>
    <definedName name="AVG_BH_CAR_PIL">#REF!</definedName>
    <definedName name="AVG_BH_PIL">#REF!</definedName>
    <definedName name="BalkenFarbe" hidden="1">3</definedName>
    <definedName name="BalkenMuster" hidden="1">1</definedName>
    <definedName name="BalkenMusterFarbe" hidden="1">2</definedName>
    <definedName name="BalkenRahmen" hidden="1">0</definedName>
    <definedName name="BalkenSVTextInnen" hidden="1">1</definedName>
    <definedName name="BalkenSVTextInnenFormat" hidden="1">"0"</definedName>
    <definedName name="BalkenSVTextLinks" hidden="1">0</definedName>
    <definedName name="BalkenSVTextLinksFormat" hidden="1">"0"</definedName>
    <definedName name="BalkenSVTextOben" hidden="1">4</definedName>
    <definedName name="BalkenSVTextObenFormat" hidden="1">"0"</definedName>
    <definedName name="BalkenSVTextRechts" hidden="1">6</definedName>
    <definedName name="BalkenSVTextRechtsFormat" hidden="1">"#,##0.00;[Red]#,##0.00"</definedName>
    <definedName name="BalkenTextInnen" hidden="1">1</definedName>
    <definedName name="BalkenTextInnenFormat" hidden="1">"0"</definedName>
    <definedName name="BalkenTextLinks" hidden="1">0</definedName>
    <definedName name="BalkenTextLinksFormat" hidden="1">"0"</definedName>
    <definedName name="BalkenTextOben" hidden="1">4</definedName>
    <definedName name="BalkenTextObenFormat" hidden="1">"0"</definedName>
    <definedName name="BalkenTextRechts" hidden="1">6</definedName>
    <definedName name="BalkenTextRechtsFormat" hidden="1">"#,##0.00;[Red]#,##0.00"</definedName>
    <definedName name="BB_DEPR">#REF!</definedName>
    <definedName name="BB_GA_Salaries">#REF!</definedName>
    <definedName name="BB_OTHER">#REF!</definedName>
    <definedName name="BB_SALARIES">#REF!</definedName>
    <definedName name="BB_Wages">#REF!</definedName>
    <definedName name="CA_Rate">#REF!</definedName>
    <definedName name="CARGO_Pilots">#REF!</definedName>
    <definedName name="CIQWBGuid" hidden="1">"f57c72f4-89c0-45ff-9c0a-1bb4fe9b4d7d"</definedName>
    <definedName name="CIQWBInfo" hidden="1">"{ ""CIQVersion"":""9.45.614.5792"" }"</definedName>
    <definedName name="ColumnsIntoTable" localSheetId="4">CHOOSE({1,2},#REF!,#REF!)</definedName>
    <definedName name="ColumnsIntoTable" localSheetId="7">CHOOSE({1,2},#REF!,#REF!)</definedName>
    <definedName name="ColumnsIntoTable" localSheetId="5">CHOOSE({1,2},#REF!,#REF!)</definedName>
    <definedName name="ColumnsIntoTable" localSheetId="8">CHOOSE({1,2},#REF!,#REF!)</definedName>
    <definedName name="ColumnsIntoTable">CHOOSE({1,2},#REF!,#REF!)</definedName>
    <definedName name="COMM_BB_Incr">#REF!</definedName>
    <definedName name="COMM_BB_TOTAL">#REF!</definedName>
    <definedName name="COMM_Sil_Incr">#REF!</definedName>
    <definedName name="COMM_Silver_TOTAL">#REF!</definedName>
    <definedName name="compresults" localSheetId="4" hidden="1">{"FCB_ALL",#N/A,FALSE,"FCB"}</definedName>
    <definedName name="compresults" localSheetId="7" hidden="1">{"FCB_ALL",#N/A,FALSE,"FCB"}</definedName>
    <definedName name="compresults" localSheetId="5" hidden="1">{"FCB_ALL",#N/A,FALSE,"FCB"}</definedName>
    <definedName name="compresults" localSheetId="8" hidden="1">{"FCB_ALL",#N/A,FALSE,"FCB"}</definedName>
    <definedName name="compresults" hidden="1">{"FCB_ALL",#N/A,FALSE,"FCB"}</definedName>
    <definedName name="Cwvu.GREY_ALL." hidden="1">#REF!</definedName>
    <definedName name="d" hidden="1">#REF!</definedName>
    <definedName name="DDDD" hidden="1">#REF!</definedName>
    <definedName name="Delivery_Month_OPLEASE">#REF!</definedName>
    <definedName name="Denomination" hidden="1">1</definedName>
    <definedName name="erew" localSheetId="4" hidden="1">{#N/A,#N/A,FALSE,"Sheet1"}</definedName>
    <definedName name="erew" localSheetId="7" hidden="1">{#N/A,#N/A,FALSE,"Sheet1"}</definedName>
    <definedName name="erew" localSheetId="5" hidden="1">{#N/A,#N/A,FALSE,"Sheet1"}</definedName>
    <definedName name="erew" localSheetId="8" hidden="1">{#N/A,#N/A,FALSE,"Sheet1"}</definedName>
    <definedName name="erew" hidden="1">{#N/A,#N/A,FALSE,"Sheet1"}</definedName>
    <definedName name="Farbe0" hidden="1">1</definedName>
    <definedName name="Farbe1" hidden="1">2</definedName>
    <definedName name="Farbe2" hidden="1">3</definedName>
    <definedName name="Farbe3" hidden="1">4</definedName>
    <definedName name="Farbe4" hidden="1">5</definedName>
    <definedName name="Farbe5" hidden="1">6</definedName>
    <definedName name="Farbe6" hidden="1">7</definedName>
    <definedName name="Farbe7" hidden="1">8</definedName>
    <definedName name="Farbe8" hidden="1">9</definedName>
    <definedName name="Farbe9" hidden="1">10</definedName>
    <definedName name="FarbeHeute" hidden="1">3</definedName>
    <definedName name="FarbeSchlüsselwort" hidden="1">"_Farbe"</definedName>
    <definedName name="Fare_change">#REF!</definedName>
    <definedName name="FilterDatabase" hidden="1">#REF!</definedName>
    <definedName name="FleetOverviewOld" hidden="1">#REF!</definedName>
    <definedName name="Flying_Attrition">#REF!</definedName>
    <definedName name="FO_Rate">#REF!</definedName>
    <definedName name="FUELTREND">#REF!</definedName>
    <definedName name="GA_Salaries">#REF!</definedName>
    <definedName name="GeplantFarbe" hidden="1">1</definedName>
    <definedName name="GeplantMuster" hidden="1">1</definedName>
    <definedName name="GeplantMusterFarbe" hidden="1">1</definedName>
    <definedName name="GeplantRahmen" hidden="1">0</definedName>
    <definedName name="GOODWILL">#REF!</definedName>
    <definedName name="HauptIntervall.Format" hidden="1">"mmmm/yyyy"</definedName>
    <definedName name="HauptIntervall.Name" hidden="1">"Month"</definedName>
    <definedName name="HauptIntervall.RandFarbe" hidden="1">1</definedName>
    <definedName name="HauptIntervall.RandLinienArt" hidden="1">1</definedName>
    <definedName name="HauptIntervall.SchriftFett" hidden="1">FALSE</definedName>
    <definedName name="HauptIntervall.SchriftGröße" hidden="1">10</definedName>
    <definedName name="HauptIntervall.Wertigkeit" hidden="1">2</definedName>
    <definedName name="HorizRandLinienArt" hidden="1">1</definedName>
    <definedName name="HTML1_1" hidden="1">"[LOG.XLS]Log!$A$1:$L$33"</definedName>
    <definedName name="HTML1_10" hidden="1">""</definedName>
    <definedName name="HTML1_11" hidden="1">1</definedName>
    <definedName name="HTML1_12" hidden="1">"G:\MIKEH\risklog.htm"</definedName>
    <definedName name="HTML1_2" hidden="1">1</definedName>
    <definedName name="HTML1_3" hidden="1">""</definedName>
    <definedName name="HTML1_4" hidden="1">"Risk Management Transaction Log"</definedName>
    <definedName name="HTML1_5" hidden="1">""</definedName>
    <definedName name="HTML1_6" hidden="1">1</definedName>
    <definedName name="HTML1_7" hidden="1">1</definedName>
    <definedName name="HTML1_8" hidden="1">"3/6/97"</definedName>
    <definedName name="HTML1_9" hidden="1">"Delta Air Lines, Inc."</definedName>
    <definedName name="HTML10_1" hidden="1">"'[SETTLE.XLS]Settlement Summary'!$A$3:$Q$80"</definedName>
    <definedName name="HTML10_10" hidden="1">""</definedName>
    <definedName name="HTML10_11" hidden="1">1</definedName>
    <definedName name="HTML10_12" hidden="1">"G:\INTRANET\settle.htm"</definedName>
    <definedName name="HTML10_2" hidden="1">1</definedName>
    <definedName name="HTML10_3" hidden="1">""</definedName>
    <definedName name="HTML10_4" hidden="1">"Settlement Summary"</definedName>
    <definedName name="HTML10_5" hidden="1">""</definedName>
    <definedName name="HTML10_6" hidden="1">-4146</definedName>
    <definedName name="HTML10_7" hidden="1">-4146</definedName>
    <definedName name="HTML10_8" hidden="1">"6/24/97"</definedName>
    <definedName name="HTML10_9" hidden="1">"Delta Air Lines, Inc."</definedName>
    <definedName name="HTML2_1" hidden="1">"[LOG.XLS]Log!$A$2:$L$38"</definedName>
    <definedName name="HTML2_10" hidden="1">""</definedName>
    <definedName name="HTML2_11" hidden="1">1</definedName>
    <definedName name="HTML2_12" hidden="1">"G:\MIKEH\Risklog.htm"</definedName>
    <definedName name="HTML2_2" hidden="1">1</definedName>
    <definedName name="HTML2_3" hidden="1">""</definedName>
    <definedName name="HTML2_4" hidden="1">"Risk Management Transaction Log"</definedName>
    <definedName name="HTML2_5" hidden="1">""</definedName>
    <definedName name="HTML2_6" hidden="1">1</definedName>
    <definedName name="HTML2_7" hidden="1">1</definedName>
    <definedName name="HTML2_8" hidden="1">"3/6/97"</definedName>
    <definedName name="HTML2_9" hidden="1">"Delta Air Lines, Inc."</definedName>
    <definedName name="HTML3_1" hidden="1">"[LOG.XLS]Log!$A$2:$L$37"</definedName>
    <definedName name="HTML3_10" hidden="1">""</definedName>
    <definedName name="HTML3_11" hidden="1">1</definedName>
    <definedName name="HTML3_12" hidden="1">"G:\MIKEH\risklog.htm"</definedName>
    <definedName name="HTML3_2" hidden="1">1</definedName>
    <definedName name="HTML3_3" hidden="1">""</definedName>
    <definedName name="HTML3_4" hidden="1">"Risk Management Transaction Log"</definedName>
    <definedName name="HTML3_5" hidden="1">""</definedName>
    <definedName name="HTML3_6" hidden="1">1</definedName>
    <definedName name="HTML3_7" hidden="1">1</definedName>
    <definedName name="HTML3_8" hidden="1">"3/6/97"</definedName>
    <definedName name="HTML3_9" hidden="1">"Delta Air Lines, Inc."</definedName>
    <definedName name="HTML4_1" hidden="1">"[LOG.XLS]Log!$A$1:$L$37"</definedName>
    <definedName name="HTML4_10" hidden="1">""</definedName>
    <definedName name="HTML4_11" hidden="1">1</definedName>
    <definedName name="HTML4_12" hidden="1">"G:\MIKEH\Risklog.htm"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"3/11/97"</definedName>
    <definedName name="HTML4_9" hidden="1">"Delta Air Lines, Inc."</definedName>
    <definedName name="HTML5_1" hidden="1">"[LOG.XLS]Log!$A$1:$M$34"</definedName>
    <definedName name="HTML5_10" hidden="1">""</definedName>
    <definedName name="HTML5_11" hidden="1">1</definedName>
    <definedName name="HTML5_12" hidden="1">"G:\MIKEH\Risklog.htm"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-4146</definedName>
    <definedName name="HTML5_7" hidden="1">-4146</definedName>
    <definedName name="HTML5_8" hidden="1">"3/11/97"</definedName>
    <definedName name="HTML5_9" hidden="1">"Delta Air Lines, Inc."</definedName>
    <definedName name="HTML6_1" hidden="1">"[LOG.XLS]Log!$A$1:$L$34"</definedName>
    <definedName name="HTML6_10" hidden="1">""</definedName>
    <definedName name="HTML6_11" hidden="1">1</definedName>
    <definedName name="HTML6_12" hidden="1">"G:\MIKEH\risklog.htm"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"3/11/97"</definedName>
    <definedName name="HTML6_9" hidden="1">"Delta Air Lines, Inc."</definedName>
    <definedName name="HTML7_1" hidden="1">"[LOG.XLS]Log!$A$1:$M$37"</definedName>
    <definedName name="HTML7_10" hidden="1">""</definedName>
    <definedName name="HTML7_11" hidden="1">1</definedName>
    <definedName name="HTML7_12" hidden="1">"G:\MIKEH\risklog.htm"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"3/11/97"</definedName>
    <definedName name="HTML7_9" hidden="1">"Delta Air Lines, Inc."</definedName>
    <definedName name="HTML8_1" hidden="1">"[LOG.XLS]Log!$A$1:$M$35"</definedName>
    <definedName name="HTML8_10" hidden="1">""</definedName>
    <definedName name="HTML8_11" hidden="1">1</definedName>
    <definedName name="HTML8_12" hidden="1">"G:\MIKEH\risklog.htm"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"3/11/97"</definedName>
    <definedName name="HTML8_9" hidden="1">"Delta Air Lines, Inc."</definedName>
    <definedName name="HTML9_1" hidden="1">"[LOG.XLS]sr120798!$A$1:$K$21"</definedName>
    <definedName name="HTML9_10" hidden="1">""</definedName>
    <definedName name="HTML9_11" hidden="1">1</definedName>
    <definedName name="HTML9_12" hidden="1">"G:\INTRANET\Risklog.htm"</definedName>
    <definedName name="HTML9_2" hidden="1">1</definedName>
    <definedName name="HTML9_3" hidden="1">"LOG"</definedName>
    <definedName name="HTML9_4" hidden="1">"sr120798"</definedName>
    <definedName name="HTML9_5" hidden="1">""</definedName>
    <definedName name="HTML9_6" hidden="1">1</definedName>
    <definedName name="HTML9_7" hidden="1">1</definedName>
    <definedName name="HTML9_8" hidden="1">"12/9/98"</definedName>
    <definedName name="HTML9_9" hidden="1">"Delta Air Lines, Inc."</definedName>
    <definedName name="HTMLCount" hidden="1">9</definedName>
    <definedName name="HVYCHK_REIMB_RESERVES">#REF!</definedName>
    <definedName name="INTANGIBLE_ACC_AMORT">#REF!</definedName>
    <definedName name="Intervall.DatWert" hidden="1">"7 "</definedName>
    <definedName name="Intervall.Format" hidden="1">"dd/mm"</definedName>
    <definedName name="Intervall.Name" hidden="1">"Week"</definedName>
    <definedName name="Intervall.RandFarbe" hidden="1">1</definedName>
    <definedName name="Intervall.RandLinienArt" hidden="1">1</definedName>
    <definedName name="Intervall.SchriftFett" hidden="1">FALSE</definedName>
    <definedName name="Intervall.SchriftGröße" hidden="1">10</definedName>
    <definedName name="Intervall.Wertigkeit" hidden="1">3</definedName>
    <definedName name="IQ_ADDIN" hidden="1">"AUTO"</definedName>
    <definedName name="IQ_CH">110000</definedName>
    <definedName name="IQ_CONV_RATE" hidden="1">"c2192"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44350.6916203703</definedName>
    <definedName name="IQ_NTM">6000</definedName>
    <definedName name="IQ_OG_TOTAL_OIL_PRODUCTON" hidden="1">"c2059"</definedName>
    <definedName name="IQ_QTD" hidden="1">750000</definedName>
    <definedName name="IQ_SHAREOUTSTANDING" hidden="1">"c1347"</definedName>
    <definedName name="IQ_TODAY" hidden="1">0</definedName>
    <definedName name="IQ_TOTAL_PENSION_OBLIGATION" hidden="1">"c1292"</definedName>
    <definedName name="IQ_WEEK">50000</definedName>
    <definedName name="IQ_YTD">3000</definedName>
    <definedName name="IQ_YTDMONTH" hidden="1">130000</definedName>
    <definedName name="IS_Seaborne_YR">#REF!</definedName>
    <definedName name="IS_Silver_YR">#REF!</definedName>
    <definedName name="JAR" hidden="1">#REF!</definedName>
    <definedName name="kjdslf" localSheetId="4" hidden="1">{#N/A,#N/A,FALSE,"Sheet1"}</definedName>
    <definedName name="kjdslf" localSheetId="7" hidden="1">{#N/A,#N/A,FALSE,"Sheet1"}</definedName>
    <definedName name="kjdslf" localSheetId="5" hidden="1">{#N/A,#N/A,FALSE,"Sheet1"}</definedName>
    <definedName name="kjdslf" localSheetId="8" hidden="1">{#N/A,#N/A,FALSE,"Sheet1"}</definedName>
    <definedName name="kjdslf" hidden="1">{#N/A,#N/A,FALSE,"Sheet1"}</definedName>
    <definedName name="LeerzeichenProEbene" hidden="1">8</definedName>
    <definedName name="LESS_ACC_DEPR">#REF!</definedName>
    <definedName name="LinkeSpalteKalender" hidden="1">84</definedName>
    <definedName name="LinkeSpalteKalenderDatum" hidden="1">"36535 "</definedName>
    <definedName name="LinkeSpalteTeilvorgänge" hidden="1">28</definedName>
    <definedName name="LOAD_FACTOR_ADJUSTMENTS">#REF!</definedName>
    <definedName name="MAINT_BB_TOTAL">#REF!</definedName>
    <definedName name="MAINT_SIL_TOTAL">#REF!</definedName>
    <definedName name="MONTHLY_BAL">#REF!</definedName>
    <definedName name="Mtx5dd" hidden="1">#REF!</definedName>
    <definedName name="NewACLF">#REF!</definedName>
    <definedName name="Non_Crew_BBPay">#REF!</definedName>
    <definedName name="Non_Crew_Pay">#REF!</definedName>
    <definedName name="none" localSheetId="4" hidden="1">{#N/A,#N/A,FALSE,"Trading-Mult ";#N/A,#N/A,FALSE,"Trading-Cap";#N/A,#N/A,FALSE,"Trading-Inc";#N/A,#N/A,FALSE,"Cash Flow";#N/A,#N/A,FALSE,"M&amp;A info"}</definedName>
    <definedName name="none" localSheetId="7" hidden="1">{#N/A,#N/A,FALSE,"Trading-Mult ";#N/A,#N/A,FALSE,"Trading-Cap";#N/A,#N/A,FALSE,"Trading-Inc";#N/A,#N/A,FALSE,"Cash Flow";#N/A,#N/A,FALSE,"M&amp;A info"}</definedName>
    <definedName name="none" localSheetId="5" hidden="1">{#N/A,#N/A,FALSE,"Trading-Mult ";#N/A,#N/A,FALSE,"Trading-Cap";#N/A,#N/A,FALSE,"Trading-Inc";#N/A,#N/A,FALSE,"Cash Flow";#N/A,#N/A,FALSE,"M&amp;A info"}</definedName>
    <definedName name="none" localSheetId="8" hidden="1">{#N/A,#N/A,FALSE,"Trading-Mult ";#N/A,#N/A,FALSE,"Trading-Cap";#N/A,#N/A,FALSE,"Trading-Inc";#N/A,#N/A,FALSE,"Cash Flow";#N/A,#N/A,FALSE,"M&amp;A info"}</definedName>
    <definedName name="none" hidden="1">{#N/A,#N/A,FALSE,"Trading-Mult ";#N/A,#N/A,FALSE,"Trading-Cap";#N/A,#N/A,FALSE,"Trading-Inc";#N/A,#N/A,FALSE,"Cash Flow";#N/A,#N/A,FALSE,"M&amp;A info"}</definedName>
    <definedName name="OP_Lease_Obligation">#REF!</definedName>
    <definedName name="OTHER_BB_GA">#REF!</definedName>
    <definedName name="OTHER_BB_TOTAL">#REF!</definedName>
    <definedName name="OTHER_INTANGIBLES">#REF!</definedName>
    <definedName name="Other_Revenue_From_BB">#REF!</definedName>
    <definedName name="OTHER_SIL_GA">#REF!</definedName>
    <definedName name="OTHER_SIL_TOTAL">#REF!</definedName>
    <definedName name="paxAOs">#REF!</definedName>
    <definedName name="PfeileFarbe" hidden="1">34</definedName>
    <definedName name="PPE_TOTAL">#REF!</definedName>
    <definedName name="PREPAID_EXP">#REF!</definedName>
    <definedName name="ProjektAnfangDatum" hidden="1">"36539#6130787037 "</definedName>
    <definedName name="PTB_EFF">#REF!</definedName>
    <definedName name="RechteSpalteKalenderDlg" hidden="1">255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OU">#REF!</definedName>
    <definedName name="RPlanBerModus" hidden="1">1</definedName>
    <definedName name="RPlanBezugString" hidden="1">"'[EZSHEET.XLS]Zahlplan'!$A$21:$K$26"</definedName>
    <definedName name="RPlanIntervall.Wertigkeit" hidden="1">2</definedName>
    <definedName name="RPlanStartTermin" hidden="1">35370</definedName>
    <definedName name="SALARIES">#REF!</definedName>
    <definedName name="Seaborne_Maint_Increase">#REF!</definedName>
    <definedName name="Seaborne_STAT_Incr">#REF!</definedName>
    <definedName name="Seaborne_TREV">#REF!</definedName>
    <definedName name="SEAPLANE_ROU">#REF!</definedName>
    <definedName name="SILVER_DEPR">#REF!</definedName>
    <definedName name="Silver_Maint_increase">#REF!</definedName>
    <definedName name="Silver_OTHER">#REF!</definedName>
    <definedName name="Silver_STAT_Incr">#REF!</definedName>
    <definedName name="Silver_TREV">#REF!</definedName>
    <definedName name="Silver_Wages">#REF!</definedName>
    <definedName name="SpalteErsterVorgang" hidden="1">1</definedName>
    <definedName name="SpalteFortlaufendeNummer" hidden="1">1</definedName>
    <definedName name="SpaltenProIntervall" hidden="1">2</definedName>
    <definedName name="SpaltenProTeilvorgang" hidden="1">7</definedName>
    <definedName name="SpalteVorgangName" hidden="1">2</definedName>
    <definedName name="StandFarbe" hidden="1">3</definedName>
    <definedName name="StandMuster" hidden="1">1</definedName>
    <definedName name="StandMusterFarbe" hidden="1">3</definedName>
    <definedName name="STATIONS_BB_TOTAL">#REF!</definedName>
    <definedName name="STATIONS_Silver_TOTAL">#REF!</definedName>
    <definedName name="SVBalkenFarbe" hidden="1">3</definedName>
    <definedName name="SVBalkenMuster" hidden="1">1</definedName>
    <definedName name="SVBalkenMusterFarbe" hidden="1">2</definedName>
    <definedName name="SVBalkenRahmen" hidden="1">0</definedName>
    <definedName name="SVGeplantFarbe" hidden="1">1</definedName>
    <definedName name="SVGeplantMuster" hidden="1">1</definedName>
    <definedName name="SVGeplantMusterFarbe" hidden="1">1</definedName>
    <definedName name="SVGeplantRahmen" hidden="1">0</definedName>
    <definedName name="SVStandFarbe" hidden="1">3</definedName>
    <definedName name="SVStandMuster" hidden="1">1</definedName>
    <definedName name="SVStandMusterFarbe" hidden="1">1</definedName>
    <definedName name="SZ18EZ21Gr173" hidden="1">"Group 173"</definedName>
    <definedName name="SZ18EZ21Gr176" hidden="1">"Group 176"</definedName>
    <definedName name="SZ18EZ21Gr179" hidden="1">"Group 179"</definedName>
    <definedName name="SZ18EZ21Gr24" hidden="1">"Group 24"</definedName>
    <definedName name="SZ18EZ21Gr62" hidden="1">"Group 62"</definedName>
    <definedName name="SZ18EZ21Gr67" hidden="1">"Group 67"</definedName>
    <definedName name="SZ21EZ21Gr157" hidden="1">"Group 157"</definedName>
    <definedName name="SZ21EZ21Gr168" hidden="1">"Group 168"</definedName>
    <definedName name="SZ27EZ24Gr182" hidden="1">"Group 182"</definedName>
    <definedName name="SZ27EZ24Gr27" hidden="1">"Group 27"</definedName>
    <definedName name="SZ27EZ24Gr30" hidden="1">"Group 30"</definedName>
    <definedName name="SZ27EZ24Gr49" hidden="1">"Group 49"</definedName>
    <definedName name="TeilIntervall.RandFarbe" hidden="1">15</definedName>
    <definedName name="TeilIntervall.RandLinienArt" hidden="1">-4118</definedName>
    <definedName name="Total_Pilot_Pay">#REF!</definedName>
    <definedName name="tradingcompar" localSheetId="4" hidden="1">{#N/A,#N/A,FALSE,"Trading-Mult ";#N/A,#N/A,FALSE,"Trading-Cap";#N/A,#N/A,FALSE,"Trading-Inc";#N/A,#N/A,FALSE,"Cash Flow";#N/A,#N/A,FALSE,"M&amp;A info"}</definedName>
    <definedName name="tradingcompar" localSheetId="7" hidden="1">{#N/A,#N/A,FALSE,"Trading-Mult ";#N/A,#N/A,FALSE,"Trading-Cap";#N/A,#N/A,FALSE,"Trading-Inc";#N/A,#N/A,FALSE,"Cash Flow";#N/A,#N/A,FALSE,"M&amp;A info"}</definedName>
    <definedName name="tradingcompar" localSheetId="5" hidden="1">{#N/A,#N/A,FALSE,"Trading-Mult ";#N/A,#N/A,FALSE,"Trading-Cap";#N/A,#N/A,FALSE,"Trading-Inc";#N/A,#N/A,FALSE,"Cash Flow";#N/A,#N/A,FALSE,"M&amp;A info"}</definedName>
    <definedName name="tradingcompar" localSheetId="8" hidden="1">{#N/A,#N/A,FALSE,"Trading-Mult ";#N/A,#N/A,FALSE,"Trading-Cap";#N/A,#N/A,FALSE,"Trading-Inc";#N/A,#N/A,FALSE,"Cash Flow";#N/A,#N/A,FALSE,"M&amp;A info"}</definedName>
    <definedName name="tradingcompar" hidden="1">{#N/A,#N/A,FALSE,"Trading-Mult ";#N/A,#N/A,FALSE,"Trading-Cap";#N/A,#N/A,FALSE,"Trading-Inc";#N/A,#N/A,FALSE,"Cash Flow";#N/A,#N/A,FALSE,"M&amp;A info"}</definedName>
    <definedName name="Training_Attrition">#REF!</definedName>
    <definedName name="TTTTTTTTTTTTT" hidden="1">#REF!</definedName>
    <definedName name="TVArtSpalte" hidden="1">0</definedName>
    <definedName name="TVDASpalte" hidden="1">1</definedName>
    <definedName name="TVDESpalte" hidden="1">2</definedName>
    <definedName name="TVKomSpalte" hidden="1">3</definedName>
    <definedName name="TVKostenSpalte" hidden="1">5</definedName>
    <definedName name="TVResSpalte" hidden="1">6</definedName>
    <definedName name="TVStandSpalte" hidden="1">4</definedName>
    <definedName name="VertRandLinienArt" hidden="1">1</definedName>
    <definedName name="VorgangRandUntenFarbe" hidden="1">1</definedName>
    <definedName name="VorgangRandUntenLinienArt" hidden="1">-4115</definedName>
    <definedName name="wew" localSheetId="4" hidden="1">{#N/A,#N/A,FALSE,"Sheet1"}</definedName>
    <definedName name="wew" localSheetId="7" hidden="1">{#N/A,#N/A,FALSE,"Sheet1"}</definedName>
    <definedName name="wew" localSheetId="5" hidden="1">{#N/A,#N/A,FALSE,"Sheet1"}</definedName>
    <definedName name="wew" localSheetId="8" hidden="1">{#N/A,#N/A,FALSE,"Sheet1"}</definedName>
    <definedName name="wew" hidden="1">{#N/A,#N/A,FALSE,"Sheet1"}</definedName>
    <definedName name="WochenendeFarbe" hidden="1">15</definedName>
    <definedName name="WochenendeMuster" hidden="1">1</definedName>
    <definedName name="WochenendeMusterFarbe" hidden="1">16</definedName>
    <definedName name="wrn.Auto._.Comp." localSheetId="4" hidden="1">{#N/A,#N/A,FALSE,"Sheet1"}</definedName>
    <definedName name="wrn.Auto._.Comp." localSheetId="7" hidden="1">{#N/A,#N/A,FALSE,"Sheet1"}</definedName>
    <definedName name="wrn.Auto._.Comp." localSheetId="5" hidden="1">{#N/A,#N/A,FALSE,"Sheet1"}</definedName>
    <definedName name="wrn.Auto._.Comp." localSheetId="8" hidden="1">{#N/A,#N/A,FALSE,"Sheet1"}</definedName>
    <definedName name="wrn.Auto._.Comp." hidden="1">{#N/A,#N/A,FALSE,"Sheet1"}</definedName>
    <definedName name="wrn.Both_Pages." localSheetId="4" hidden="1">{#N/A,#N/A,TRUE,"Information";#N/A,#N/A,TRUE,"Cost_Benefit"}</definedName>
    <definedName name="wrn.Both_Pages." localSheetId="7" hidden="1">{#N/A,#N/A,TRUE,"Information";#N/A,#N/A,TRUE,"Cost_Benefit"}</definedName>
    <definedName name="wrn.Both_Pages." localSheetId="5" hidden="1">{#N/A,#N/A,TRUE,"Information";#N/A,#N/A,TRUE,"Cost_Benefit"}</definedName>
    <definedName name="wrn.Both_Pages." localSheetId="8" hidden="1">{#N/A,#N/A,TRUE,"Information";#N/A,#N/A,TRUE,"Cost_Benefit"}</definedName>
    <definedName name="wrn.Both_Pages." hidden="1">{#N/A,#N/A,TRUE,"Information";#N/A,#N/A,TRUE,"Cost_Benefit"}</definedName>
    <definedName name="wrn.BUDGET." localSheetId="4" hidden="1">{"JOE TIRELLO - Personal View",#N/A,FALSE,"1998 budget"}</definedName>
    <definedName name="wrn.BUDGET." localSheetId="7" hidden="1">{"JOE TIRELLO - Personal View",#N/A,FALSE,"1998 budget"}</definedName>
    <definedName name="wrn.BUDGET." localSheetId="5" hidden="1">{"JOE TIRELLO - Personal View",#N/A,FALSE,"1998 budget"}</definedName>
    <definedName name="wrn.BUDGET." localSheetId="8" hidden="1">{"JOE TIRELLO - Personal View",#N/A,FALSE,"1998 budget"}</definedName>
    <definedName name="wrn.BUDGET." hidden="1">{"JOE TIRELLO - Personal View",#N/A,FALSE,"1998 budget"}</definedName>
    <definedName name="wrn.FCB." localSheetId="4" hidden="1">{"FCB_ALL",#N/A,FALSE,"FCB"}</definedName>
    <definedName name="wrn.FCB." localSheetId="7" hidden="1">{"FCB_ALL",#N/A,FALSE,"FCB"}</definedName>
    <definedName name="wrn.FCB." localSheetId="5" hidden="1">{"FCB_ALL",#N/A,FALSE,"FCB"}</definedName>
    <definedName name="wrn.FCB." localSheetId="8" hidden="1">{"FCB_ALL",#N/A,FALSE,"FCB"}</definedName>
    <definedName name="wrn.FCB." hidden="1">{"FCB_ALL",#N/A,FALSE,"FCB"}</definedName>
    <definedName name="wrn.Print." localSheetId="4" hidden="1">{#N/A,#N/A,FALSE,"Trading-Mult ";#N/A,#N/A,FALSE,"Trading-Cap";#N/A,#N/A,FALSE,"Trading-Inc";#N/A,#N/A,FALSE,"Cash Flow";#N/A,#N/A,FALSE,"M&amp;A info"}</definedName>
    <definedName name="wrn.Print." localSheetId="7" hidden="1">{#N/A,#N/A,FALSE,"Trading-Mult ";#N/A,#N/A,FALSE,"Trading-Cap";#N/A,#N/A,FALSE,"Trading-Inc";#N/A,#N/A,FALSE,"Cash Flow";#N/A,#N/A,FALSE,"M&amp;A info"}</definedName>
    <definedName name="wrn.Print." localSheetId="5" hidden="1">{#N/A,#N/A,FALSE,"Trading-Mult ";#N/A,#N/A,FALSE,"Trading-Cap";#N/A,#N/A,FALSE,"Trading-Inc";#N/A,#N/A,FALSE,"Cash Flow";#N/A,#N/A,FALSE,"M&amp;A info"}</definedName>
    <definedName name="wrn.Print." localSheetId="8" hidden="1">{#N/A,#N/A,FALSE,"Trading-Mult ";#N/A,#N/A,FALSE,"Trading-Cap";#N/A,#N/A,FALSE,"Trading-Inc";#N/A,#N/A,FALSE,"Cash Flow";#N/A,#N/A,FALSE,"M&amp;A info"}</definedName>
    <definedName name="wrn.Print." hidden="1">{#N/A,#N/A,FALSE,"Trading-Mult ";#N/A,#N/A,FALSE,"Trading-Cap";#N/A,#N/A,FALSE,"Trading-Inc";#N/A,#N/A,FALSE,"Cash Flow";#N/A,#N/A,FALSE,"M&amp;A info"}</definedName>
    <definedName name="wrn.STAND_ALONE_BOTH." localSheetId="4" hidden="1">{"FCB_ALL",#N/A,FALSE,"FCB";"GREY_ALL",#N/A,FALSE,"GREY"}</definedName>
    <definedName name="wrn.STAND_ALONE_BOTH." localSheetId="7" hidden="1">{"FCB_ALL",#N/A,FALSE,"FCB";"GREY_ALL",#N/A,FALSE,"GREY"}</definedName>
    <definedName name="wrn.STAND_ALONE_BOTH." localSheetId="5" hidden="1">{"FCB_ALL",#N/A,FALSE,"FCB";"GREY_ALL",#N/A,FALSE,"GREY"}</definedName>
    <definedName name="wrn.STAND_ALONE_BOTH." localSheetId="8" hidden="1">{"FCB_ALL",#N/A,FALSE,"FCB";"GREY_ALL",#N/A,FALSE,"GREY"}</definedName>
    <definedName name="wrn.STAND_ALONE_BOTH." hidden="1">{"FCB_ALL",#N/A,FALSE,"FCB";"GREY_ALL",#N/A,FALSE,"GREY"}</definedName>
    <definedName name="x" localSheetId="4" hidden="1">{#N/A,#N/A,FALSE,"Sheet1"}</definedName>
    <definedName name="x" localSheetId="7" hidden="1">{#N/A,#N/A,FALSE,"Sheet1"}</definedName>
    <definedName name="x" localSheetId="5" hidden="1">{#N/A,#N/A,FALSE,"Sheet1"}</definedName>
    <definedName name="x" localSheetId="8" hidden="1">{#N/A,#N/A,FALSE,"Sheet1"}</definedName>
    <definedName name="x" hidden="1">{#N/A,#N/A,FALSE,"Sheet1"}</definedName>
    <definedName name="xx" localSheetId="4" hidden="1">{#N/A,#N/A,FALSE,"Sheet1"}</definedName>
    <definedName name="xx" localSheetId="7" hidden="1">{#N/A,#N/A,FALSE,"Sheet1"}</definedName>
    <definedName name="xx" localSheetId="5" hidden="1">{#N/A,#N/A,FALSE,"Sheet1"}</definedName>
    <definedName name="xx" localSheetId="8" hidden="1">{#N/A,#N/A,FALSE,"Sheet1"}</definedName>
    <definedName name="xx" hidden="1">{#N/A,#N/A,FALSE,"Sheet1"}</definedName>
    <definedName name="y" localSheetId="4" hidden="1">{#N/A,#N/A,FALSE,"Sheet1"}</definedName>
    <definedName name="y" localSheetId="7" hidden="1">{#N/A,#N/A,FALSE,"Sheet1"}</definedName>
    <definedName name="y" localSheetId="5" hidden="1">{#N/A,#N/A,FALSE,"Sheet1"}</definedName>
    <definedName name="y" localSheetId="8" hidden="1">{#N/A,#N/A,FALSE,"Sheet1"}</definedName>
    <definedName name="y" hidden="1">{#N/A,#N/A,FALSE,"Sheet1"}</definedName>
    <definedName name="yes" hidden="1">#REF!</definedName>
    <definedName name="YIELD_AC_ADJUSTMENT_ANNUAL">#REF!</definedName>
    <definedName name="YIELD_MONTHLY_ADJUSTMENTS">#REF!</definedName>
    <definedName name="YIELD_REG_ADJUSTMENT_ANNUAL">#REF!</definedName>
    <definedName name="yy" localSheetId="4" hidden="1">{#N/A,#N/A,FALSE,"Sheet1"}</definedName>
    <definedName name="yy" localSheetId="7" hidden="1">{#N/A,#N/A,FALSE,"Sheet1"}</definedName>
    <definedName name="yy" localSheetId="5" hidden="1">{#N/A,#N/A,FALSE,"Sheet1"}</definedName>
    <definedName name="yy" localSheetId="8" hidden="1">{#N/A,#N/A,FALSE,"Sheet1"}</definedName>
    <definedName name="yy" hidden="1">{#N/A,#N/A,FALSE,"Sheet1"}</definedName>
    <definedName name="z" localSheetId="4" hidden="1">{#N/A,#N/A,FALSE,"Sheet1"}</definedName>
    <definedName name="z" localSheetId="7" hidden="1">{#N/A,#N/A,FALSE,"Sheet1"}</definedName>
    <definedName name="z" localSheetId="5" hidden="1">{#N/A,#N/A,FALSE,"Sheet1"}</definedName>
    <definedName name="z" localSheetId="8" hidden="1">{#N/A,#N/A,FALSE,"Sheet1"}</definedName>
    <definedName name="z" hidden="1">{#N/A,#N/A,FALSE,"Sheet1"}</definedName>
    <definedName name="ZahlplanBerModus" hidden="1">1</definedName>
    <definedName name="ZahlplanBezugString" hidden="1">"Zahlplan!$A$8:$K$13"</definedName>
    <definedName name="ZahlplanIntervall" hidden="1">2</definedName>
    <definedName name="ZahlplanIntervall.Wertigkeit" hidden="1">2</definedName>
    <definedName name="ZahlplanRechteSpalte" hidden="1">24</definedName>
    <definedName name="ZahlplanStartTermin" hidden="1">35370</definedName>
    <definedName name="ZahlplanZeichenSpalte" hidden="1">4</definedName>
    <definedName name="ZahlplanZeichenString" hidden="1">#REF!</definedName>
    <definedName name="ZeichenGrösseSchrittweite" hidden="1">2</definedName>
    <definedName name="ZeichenGrösseStandard" hidden="1">10</definedName>
    <definedName name="ZeileErsterVorgang" hidden="1">5</definedName>
    <definedName name="ZeilenProVorgang" hidden="1">3</definedName>
    <definedName name="ZeileRandUntenFarbe" hidden="1">0</definedName>
    <definedName name="ZeileRandUntenLinienArt" hidden="1">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87" i="9" l="1"/>
  <c r="AZ88" i="9"/>
  <c r="AZ89" i="9"/>
  <c r="AZ90" i="9"/>
  <c r="AZ86" i="9"/>
  <c r="AY87" i="9"/>
  <c r="AY88" i="9"/>
  <c r="AY89" i="9"/>
  <c r="AY90" i="9"/>
  <c r="BB87" i="9"/>
  <c r="BB88" i="9"/>
  <c r="BB89" i="9"/>
  <c r="BB90" i="9"/>
  <c r="AY86" i="9"/>
  <c r="BB86" i="9"/>
  <c r="AW90" i="9"/>
  <c r="AW89" i="9"/>
  <c r="AW88" i="9"/>
  <c r="AV90" i="9"/>
  <c r="AV89" i="9"/>
  <c r="BB73" i="9"/>
  <c r="BB72" i="9"/>
  <c r="BB74" i="9" s="1"/>
  <c r="BB56" i="9"/>
  <c r="BB55" i="9"/>
  <c r="BB57" i="9" s="1"/>
  <c r="AV88" i="9"/>
  <c r="BB42" i="9"/>
  <c r="BB41" i="9"/>
  <c r="BB40" i="9"/>
  <c r="AV87" i="9"/>
  <c r="AV86" i="9"/>
  <c r="H30" i="6"/>
  <c r="F37" i="6"/>
  <c r="F36" i="6"/>
  <c r="F30" i="6"/>
  <c r="E37" i="6"/>
  <c r="E36" i="6"/>
  <c r="E30" i="6"/>
  <c r="D37" i="6"/>
  <c r="D36" i="6"/>
  <c r="D30" i="6"/>
  <c r="C37" i="6"/>
  <c r="C36" i="6"/>
  <c r="C30" i="6"/>
  <c r="B37" i="6"/>
  <c r="B36" i="6"/>
  <c r="B30" i="6"/>
  <c r="F14" i="2"/>
  <c r="F12" i="2"/>
  <c r="F5" i="5"/>
  <c r="E5" i="5"/>
  <c r="E14" i="2"/>
  <c r="F6" i="2"/>
  <c r="F5" i="2"/>
  <c r="BE73" i="9"/>
  <c r="BD73" i="9"/>
  <c r="BD76" i="9" s="1"/>
  <c r="BE72" i="9"/>
  <c r="BE74" i="9" s="1"/>
  <c r="BD72" i="9"/>
  <c r="BD75" i="9" s="1"/>
  <c r="AU73" i="9"/>
  <c r="AU72" i="9"/>
  <c r="AU74" i="9" s="1"/>
  <c r="E12" i="2"/>
  <c r="E6" i="2"/>
  <c r="E5" i="2"/>
  <c r="BD58" i="9"/>
  <c r="BE56" i="9"/>
  <c r="BD56" i="9"/>
  <c r="BD59" i="9" s="1"/>
  <c r="BE55" i="9"/>
  <c r="BE57" i="9" s="1"/>
  <c r="BD55" i="9"/>
  <c r="BD57" i="9" s="1"/>
  <c r="BE59" i="9" s="1"/>
  <c r="BM71" i="9"/>
  <c r="BH71" i="9"/>
  <c r="BR71" i="9" s="1"/>
  <c r="BS71" i="9" s="1"/>
  <c r="BG71" i="9"/>
  <c r="BJ71" i="9" s="1"/>
  <c r="AW71" i="9"/>
  <c r="AR71" i="9"/>
  <c r="BB71" i="9" s="1"/>
  <c r="AQ71" i="9"/>
  <c r="AT71" i="9" s="1"/>
  <c r="I71" i="9"/>
  <c r="BQ71" i="9" s="1"/>
  <c r="BM70" i="9"/>
  <c r="BH70" i="9"/>
  <c r="BR70" i="9" s="1"/>
  <c r="BS70" i="9" s="1"/>
  <c r="BG70" i="9"/>
  <c r="BG73" i="9" s="1"/>
  <c r="AW70" i="9"/>
  <c r="AR70" i="9"/>
  <c r="BB70" i="9" s="1"/>
  <c r="BD70" i="9" s="1"/>
  <c r="AQ70" i="9"/>
  <c r="AT70" i="9" s="1"/>
  <c r="AV70" i="9" s="1"/>
  <c r="I70" i="9"/>
  <c r="BQ70" i="9" s="1"/>
  <c r="BM69" i="9"/>
  <c r="BH69" i="9"/>
  <c r="BR69" i="9" s="1"/>
  <c r="BS69" i="9" s="1"/>
  <c r="BG69" i="9"/>
  <c r="BJ69" i="9" s="1"/>
  <c r="AW69" i="9"/>
  <c r="AR69" i="9"/>
  <c r="BB69" i="9" s="1"/>
  <c r="AQ69" i="9"/>
  <c r="AT69" i="9" s="1"/>
  <c r="I69" i="9"/>
  <c r="BA69" i="9" s="1"/>
  <c r="BM68" i="9"/>
  <c r="BH68" i="9"/>
  <c r="BR68" i="9" s="1"/>
  <c r="BS68" i="9" s="1"/>
  <c r="BG68" i="9"/>
  <c r="BJ68" i="9" s="1"/>
  <c r="AW68" i="9"/>
  <c r="AR68" i="9"/>
  <c r="BB68" i="9" s="1"/>
  <c r="AQ68" i="9"/>
  <c r="AT68" i="9" s="1"/>
  <c r="I68" i="9"/>
  <c r="BA68" i="9" s="1"/>
  <c r="BM67" i="9"/>
  <c r="BH67" i="9"/>
  <c r="BR67" i="9" s="1"/>
  <c r="BS67" i="9" s="1"/>
  <c r="BG67" i="9"/>
  <c r="BJ67" i="9" s="1"/>
  <c r="BB67" i="9"/>
  <c r="BE67" i="9" s="1"/>
  <c r="BA67" i="9"/>
  <c r="AW67" i="9"/>
  <c r="AR67" i="9"/>
  <c r="AQ67" i="9"/>
  <c r="AT67" i="9" s="1"/>
  <c r="AU67" i="9" s="1"/>
  <c r="I67" i="9"/>
  <c r="BQ67" i="9" s="1"/>
  <c r="BM66" i="9"/>
  <c r="BH66" i="9"/>
  <c r="BR66" i="9" s="1"/>
  <c r="BS66" i="9" s="1"/>
  <c r="BG66" i="9"/>
  <c r="BJ66" i="9" s="1"/>
  <c r="AW66" i="9"/>
  <c r="AR66" i="9"/>
  <c r="BB66" i="9" s="1"/>
  <c r="AQ66" i="9"/>
  <c r="AT66" i="9" s="1"/>
  <c r="I66" i="9"/>
  <c r="BA66" i="9" s="1"/>
  <c r="BQ65" i="9"/>
  <c r="BM65" i="9"/>
  <c r="BH65" i="9"/>
  <c r="BR65" i="9" s="1"/>
  <c r="BG65" i="9"/>
  <c r="BJ65" i="9" s="1"/>
  <c r="BA65" i="9"/>
  <c r="AW65" i="9"/>
  <c r="AR65" i="9"/>
  <c r="BB65" i="9" s="1"/>
  <c r="AQ65" i="9"/>
  <c r="I65" i="9"/>
  <c r="E33" i="5"/>
  <c r="BE48" i="9"/>
  <c r="BD48" i="9"/>
  <c r="BM54" i="9"/>
  <c r="BH54" i="9"/>
  <c r="BR54" i="9" s="1"/>
  <c r="BS54" i="9" s="1"/>
  <c r="BG54" i="9"/>
  <c r="BJ54" i="9" s="1"/>
  <c r="AW54" i="9"/>
  <c r="AR54" i="9"/>
  <c r="BB54" i="9" s="1"/>
  <c r="BD54" i="9" s="1"/>
  <c r="AQ54" i="9"/>
  <c r="AT54" i="9" s="1"/>
  <c r="I54" i="9"/>
  <c r="BA54" i="9" s="1"/>
  <c r="BM53" i="9"/>
  <c r="BH53" i="9"/>
  <c r="BR53" i="9" s="1"/>
  <c r="BS53" i="9" s="1"/>
  <c r="BG53" i="9"/>
  <c r="AW53" i="9"/>
  <c r="AR53" i="9"/>
  <c r="BB53" i="9" s="1"/>
  <c r="BE53" i="9" s="1"/>
  <c r="AQ53" i="9"/>
  <c r="AT53" i="9" s="1"/>
  <c r="I53" i="9"/>
  <c r="BQ53" i="9" s="1"/>
  <c r="BM52" i="9"/>
  <c r="BH52" i="9"/>
  <c r="BR52" i="9" s="1"/>
  <c r="BS52" i="9" s="1"/>
  <c r="BG52" i="9"/>
  <c r="BJ52" i="9" s="1"/>
  <c r="AW52" i="9"/>
  <c r="AR52" i="9"/>
  <c r="BB52" i="9" s="1"/>
  <c r="BD52" i="9" s="1"/>
  <c r="AQ52" i="9"/>
  <c r="AT52" i="9" s="1"/>
  <c r="I52" i="9"/>
  <c r="BA52" i="9" s="1"/>
  <c r="BM51" i="9"/>
  <c r="BH51" i="9"/>
  <c r="BR51" i="9" s="1"/>
  <c r="BS51" i="9" s="1"/>
  <c r="BG51" i="9"/>
  <c r="BJ51" i="9" s="1"/>
  <c r="AW51" i="9"/>
  <c r="AR51" i="9"/>
  <c r="BB51" i="9" s="1"/>
  <c r="BD51" i="9" s="1"/>
  <c r="AQ51" i="9"/>
  <c r="AT51" i="9" s="1"/>
  <c r="I51" i="9"/>
  <c r="BA51" i="9" s="1"/>
  <c r="BM50" i="9"/>
  <c r="BH50" i="9"/>
  <c r="BR50" i="9" s="1"/>
  <c r="BS50" i="9" s="1"/>
  <c r="BG50" i="9"/>
  <c r="BJ50" i="9" s="1"/>
  <c r="AW50" i="9"/>
  <c r="AR50" i="9"/>
  <c r="BB50" i="9" s="1"/>
  <c r="BD50" i="9" s="1"/>
  <c r="AQ50" i="9"/>
  <c r="AT50" i="9" s="1"/>
  <c r="I50" i="9"/>
  <c r="BQ50" i="9" s="1"/>
  <c r="BM49" i="9"/>
  <c r="BH49" i="9"/>
  <c r="BR49" i="9" s="1"/>
  <c r="BS49" i="9" s="1"/>
  <c r="BG49" i="9"/>
  <c r="AW49" i="9"/>
  <c r="AR49" i="9"/>
  <c r="BB49" i="9" s="1"/>
  <c r="BD49" i="9" s="1"/>
  <c r="AQ49" i="9"/>
  <c r="AT49" i="9" s="1"/>
  <c r="I49" i="9"/>
  <c r="BA49" i="9" s="1"/>
  <c r="BR48" i="9"/>
  <c r="BS48" i="9" s="1"/>
  <c r="BM48" i="9"/>
  <c r="BH48" i="9"/>
  <c r="BG48" i="9"/>
  <c r="BJ48" i="9" s="1"/>
  <c r="AW48" i="9"/>
  <c r="AR48" i="9"/>
  <c r="BB48" i="9" s="1"/>
  <c r="AQ48" i="9"/>
  <c r="I48" i="9"/>
  <c r="BQ48" i="9" s="1"/>
  <c r="D27" i="2"/>
  <c r="BE35" i="9"/>
  <c r="BE39" i="9"/>
  <c r="BD34" i="9"/>
  <c r="BM39" i="9"/>
  <c r="BH39" i="9"/>
  <c r="BR39" i="9" s="1"/>
  <c r="BS39" i="9" s="1"/>
  <c r="BG39" i="9"/>
  <c r="BJ39" i="9" s="1"/>
  <c r="BN39" i="9" s="1"/>
  <c r="BO39" i="9" s="1"/>
  <c r="AW39" i="9"/>
  <c r="AR39" i="9"/>
  <c r="BB39" i="9" s="1"/>
  <c r="BD39" i="9" s="1"/>
  <c r="AQ39" i="9"/>
  <c r="AT39" i="9" s="1"/>
  <c r="I39" i="9"/>
  <c r="BQ39" i="9" s="1"/>
  <c r="BQ38" i="9"/>
  <c r="BM38" i="9"/>
  <c r="BH38" i="9"/>
  <c r="BR38" i="9" s="1"/>
  <c r="BS38" i="9" s="1"/>
  <c r="BG38" i="9"/>
  <c r="BJ38" i="9" s="1"/>
  <c r="BA38" i="9"/>
  <c r="AW38" i="9"/>
  <c r="AR38" i="9"/>
  <c r="BB38" i="9" s="1"/>
  <c r="BD38" i="9" s="1"/>
  <c r="AQ38" i="9"/>
  <c r="AT38" i="9" s="1"/>
  <c r="I38" i="9"/>
  <c r="BM37" i="9"/>
  <c r="BH37" i="9"/>
  <c r="BR37" i="9" s="1"/>
  <c r="BS37" i="9" s="1"/>
  <c r="BG37" i="9"/>
  <c r="BJ37" i="9" s="1"/>
  <c r="AW37" i="9"/>
  <c r="AR37" i="9"/>
  <c r="BB37" i="9" s="1"/>
  <c r="AQ37" i="9"/>
  <c r="AT37" i="9" s="1"/>
  <c r="I37" i="9"/>
  <c r="BA37" i="9" s="1"/>
  <c r="BM36" i="9"/>
  <c r="BH36" i="9"/>
  <c r="BR36" i="9" s="1"/>
  <c r="BS36" i="9" s="1"/>
  <c r="BG36" i="9"/>
  <c r="BJ36" i="9" s="1"/>
  <c r="AW36" i="9"/>
  <c r="AR36" i="9"/>
  <c r="BB36" i="9" s="1"/>
  <c r="BD36" i="9" s="1"/>
  <c r="AQ36" i="9"/>
  <c r="AT36" i="9" s="1"/>
  <c r="I36" i="9"/>
  <c r="BA36" i="9" s="1"/>
  <c r="BM35" i="9"/>
  <c r="BH35" i="9"/>
  <c r="BR35" i="9" s="1"/>
  <c r="BS35" i="9" s="1"/>
  <c r="BG35" i="9"/>
  <c r="BJ35" i="9" s="1"/>
  <c r="AW35" i="9"/>
  <c r="AR35" i="9"/>
  <c r="BB35" i="9" s="1"/>
  <c r="BC35" i="9" s="1"/>
  <c r="AQ35" i="9"/>
  <c r="AT35" i="9" s="1"/>
  <c r="I35" i="9"/>
  <c r="BQ35" i="9" s="1"/>
  <c r="BM34" i="9"/>
  <c r="BH34" i="9"/>
  <c r="BR34" i="9" s="1"/>
  <c r="BS34" i="9" s="1"/>
  <c r="BG34" i="9"/>
  <c r="BJ34" i="9" s="1"/>
  <c r="AW34" i="9"/>
  <c r="AR34" i="9"/>
  <c r="BB34" i="9" s="1"/>
  <c r="BE34" i="9" s="1"/>
  <c r="AQ34" i="9"/>
  <c r="AT34" i="9" s="1"/>
  <c r="I34" i="9"/>
  <c r="BA34" i="9" s="1"/>
  <c r="BM33" i="9"/>
  <c r="BH33" i="9"/>
  <c r="BR33" i="9" s="1"/>
  <c r="BS33" i="9" s="1"/>
  <c r="BG33" i="9"/>
  <c r="BJ33" i="9" s="1"/>
  <c r="AW33" i="9"/>
  <c r="AR33" i="9"/>
  <c r="BB33" i="9" s="1"/>
  <c r="BE33" i="9" s="1"/>
  <c r="AQ33" i="9"/>
  <c r="I33" i="9"/>
  <c r="BQ33" i="9" s="1"/>
  <c r="G14" i="1"/>
  <c r="BD21" i="9"/>
  <c r="BE21" i="9"/>
  <c r="BD23" i="9"/>
  <c r="BE23" i="9"/>
  <c r="BM24" i="9"/>
  <c r="BH24" i="9"/>
  <c r="BR24" i="9" s="1"/>
  <c r="BS24" i="9" s="1"/>
  <c r="BG24" i="9"/>
  <c r="BJ24" i="9" s="1"/>
  <c r="AW24" i="9"/>
  <c r="AR24" i="9"/>
  <c r="BB24" i="9" s="1"/>
  <c r="BD24" i="9" s="1"/>
  <c r="AQ24" i="9"/>
  <c r="AT24" i="9" s="1"/>
  <c r="I24" i="9"/>
  <c r="BA24" i="9" s="1"/>
  <c r="BM23" i="9"/>
  <c r="BH23" i="9"/>
  <c r="BR23" i="9" s="1"/>
  <c r="BS23" i="9" s="1"/>
  <c r="BG23" i="9"/>
  <c r="BJ23" i="9" s="1"/>
  <c r="AW23" i="9"/>
  <c r="AR23" i="9"/>
  <c r="BB23" i="9" s="1"/>
  <c r="AQ23" i="9"/>
  <c r="AT23" i="9" s="1"/>
  <c r="I23" i="9"/>
  <c r="BA23" i="9" s="1"/>
  <c r="BM22" i="9"/>
  <c r="BH22" i="9"/>
  <c r="BR22" i="9" s="1"/>
  <c r="BS22" i="9" s="1"/>
  <c r="BG22" i="9"/>
  <c r="BJ22" i="9" s="1"/>
  <c r="AW22" i="9"/>
  <c r="AR22" i="9"/>
  <c r="BB22" i="9" s="1"/>
  <c r="AQ22" i="9"/>
  <c r="AT22" i="9" s="1"/>
  <c r="I22" i="9"/>
  <c r="BQ22" i="9" s="1"/>
  <c r="BM21" i="9"/>
  <c r="BH21" i="9"/>
  <c r="BR21" i="9" s="1"/>
  <c r="BS21" i="9" s="1"/>
  <c r="BG21" i="9"/>
  <c r="BJ21" i="9" s="1"/>
  <c r="AW21" i="9"/>
  <c r="AR21" i="9"/>
  <c r="BB21" i="9" s="1"/>
  <c r="AQ21" i="9"/>
  <c r="AT21" i="9" s="1"/>
  <c r="I21" i="9"/>
  <c r="BQ21" i="9" s="1"/>
  <c r="BM20" i="9"/>
  <c r="BH20" i="9"/>
  <c r="BR20" i="9" s="1"/>
  <c r="BS20" i="9" s="1"/>
  <c r="BG20" i="9"/>
  <c r="BJ20" i="9" s="1"/>
  <c r="AW20" i="9"/>
  <c r="AR20" i="9"/>
  <c r="BB20" i="9" s="1"/>
  <c r="BD20" i="9" s="1"/>
  <c r="AQ20" i="9"/>
  <c r="AT20" i="9" s="1"/>
  <c r="I20" i="9"/>
  <c r="BA20" i="9" s="1"/>
  <c r="BM19" i="9"/>
  <c r="BH19" i="9"/>
  <c r="BR19" i="9" s="1"/>
  <c r="BS19" i="9" s="1"/>
  <c r="BG19" i="9"/>
  <c r="BJ19" i="9" s="1"/>
  <c r="BL19" i="9" s="1"/>
  <c r="AW19" i="9"/>
  <c r="AR19" i="9"/>
  <c r="BB19" i="9" s="1"/>
  <c r="BD19" i="9" s="1"/>
  <c r="AQ19" i="9"/>
  <c r="AT19" i="9" s="1"/>
  <c r="I19" i="9"/>
  <c r="BQ19" i="9" s="1"/>
  <c r="BM18" i="9"/>
  <c r="BH18" i="9"/>
  <c r="BR18" i="9" s="1"/>
  <c r="BG18" i="9"/>
  <c r="AW18" i="9"/>
  <c r="AR18" i="9"/>
  <c r="BB18" i="9" s="1"/>
  <c r="BD18" i="9" s="1"/>
  <c r="AQ18" i="9"/>
  <c r="AT18" i="9" s="1"/>
  <c r="I18" i="9"/>
  <c r="BA18" i="9" s="1"/>
  <c r="BM6" i="9"/>
  <c r="BM7" i="9"/>
  <c r="BM8" i="9"/>
  <c r="BM9" i="9"/>
  <c r="BM10" i="9"/>
  <c r="BM4" i="9"/>
  <c r="BM5" i="9"/>
  <c r="BG5" i="9"/>
  <c r="BJ5" i="9" s="1"/>
  <c r="BG6" i="9"/>
  <c r="BJ6" i="9" s="1"/>
  <c r="BN6" i="9" s="1"/>
  <c r="BO6" i="9" s="1"/>
  <c r="BG7" i="9"/>
  <c r="BJ7" i="9" s="1"/>
  <c r="BN7" i="9" s="1"/>
  <c r="BO7" i="9" s="1"/>
  <c r="BG8" i="9"/>
  <c r="BJ8" i="9" s="1"/>
  <c r="BN8" i="9" s="1"/>
  <c r="BO8" i="9" s="1"/>
  <c r="BG9" i="9"/>
  <c r="BJ9" i="9" s="1"/>
  <c r="BP9" i="9" s="1"/>
  <c r="BG10" i="9"/>
  <c r="BJ10" i="9" s="1"/>
  <c r="BG4" i="9"/>
  <c r="BJ4" i="9" s="1"/>
  <c r="BH10" i="9"/>
  <c r="BR10" i="9" s="1"/>
  <c r="BS10" i="9" s="1"/>
  <c r="BH9" i="9"/>
  <c r="BR9" i="9" s="1"/>
  <c r="BS9" i="9" s="1"/>
  <c r="BH8" i="9"/>
  <c r="BR8" i="9" s="1"/>
  <c r="BS8" i="9" s="1"/>
  <c r="BH7" i="9"/>
  <c r="BR7" i="9" s="1"/>
  <c r="BS7" i="9" s="1"/>
  <c r="BH6" i="9"/>
  <c r="BR6" i="9" s="1"/>
  <c r="BS6" i="9" s="1"/>
  <c r="BH5" i="9"/>
  <c r="BH4" i="9"/>
  <c r="BR4" i="9" s="1"/>
  <c r="BS4" i="9" s="1"/>
  <c r="AW5" i="9"/>
  <c r="AW6" i="9"/>
  <c r="AW7" i="9"/>
  <c r="AW8" i="9"/>
  <c r="AW9" i="9"/>
  <c r="AW10" i="9"/>
  <c r="AW4" i="9"/>
  <c r="I4" i="9"/>
  <c r="BA4" i="9" s="1"/>
  <c r="I5" i="9"/>
  <c r="BA5" i="9" s="1"/>
  <c r="I6" i="9"/>
  <c r="BA6" i="9" s="1"/>
  <c r="I7" i="9"/>
  <c r="BA7" i="9" s="1"/>
  <c r="I8" i="9"/>
  <c r="BA8" i="9" s="1"/>
  <c r="I9" i="9"/>
  <c r="BA9" i="9" s="1"/>
  <c r="I10" i="9"/>
  <c r="BA10" i="9" s="1"/>
  <c r="H31" i="1"/>
  <c r="AQ6" i="9"/>
  <c r="AT6" i="9" s="1"/>
  <c r="AR6" i="9"/>
  <c r="BB6" i="9" s="1"/>
  <c r="BC6" i="9" s="1"/>
  <c r="AQ7" i="9"/>
  <c r="AT7" i="9" s="1"/>
  <c r="AR7" i="9"/>
  <c r="BB7" i="9" s="1"/>
  <c r="AQ8" i="9"/>
  <c r="AT8" i="9" s="1"/>
  <c r="AX8" i="9" s="1"/>
  <c r="AY8" i="9" s="1"/>
  <c r="AR8" i="9"/>
  <c r="BB8" i="9" s="1"/>
  <c r="AQ9" i="9"/>
  <c r="AT9" i="9" s="1"/>
  <c r="AR9" i="9"/>
  <c r="BB9" i="9" s="1"/>
  <c r="BE9" i="9" s="1"/>
  <c r="AQ10" i="9"/>
  <c r="AT10" i="9" s="1"/>
  <c r="AR10" i="9"/>
  <c r="BB10" i="9" s="1"/>
  <c r="AQ5" i="9"/>
  <c r="AT5" i="9" s="1"/>
  <c r="H14" i="1"/>
  <c r="AR5" i="9"/>
  <c r="BB5" i="9" s="1"/>
  <c r="AR4" i="9"/>
  <c r="BB4" i="9" s="1"/>
  <c r="BD4" i="9" s="1"/>
  <c r="AQ4" i="9"/>
  <c r="AT4" i="9" s="1"/>
  <c r="AU4" i="9" s="1"/>
  <c r="AG8" i="8"/>
  <c r="AG9" i="8"/>
  <c r="AG10" i="8"/>
  <c r="AG11" i="8"/>
  <c r="AG12" i="8"/>
  <c r="AG13" i="8"/>
  <c r="AG14" i="8"/>
  <c r="AG15" i="8"/>
  <c r="AG16" i="8"/>
  <c r="AG17" i="8"/>
  <c r="AG18" i="8"/>
  <c r="AG19" i="8"/>
  <c r="AG20" i="8"/>
  <c r="AG21" i="8"/>
  <c r="AG22" i="8"/>
  <c r="AG23" i="8"/>
  <c r="AG24" i="8"/>
  <c r="AG25" i="8"/>
  <c r="AG26" i="8"/>
  <c r="AG27" i="8"/>
  <c r="AG28" i="8"/>
  <c r="AG29" i="8"/>
  <c r="AG30" i="8"/>
  <c r="AG31" i="8"/>
  <c r="AG32" i="8"/>
  <c r="AG33" i="8"/>
  <c r="AG34" i="8"/>
  <c r="AG35" i="8"/>
  <c r="AG36" i="8"/>
  <c r="AG37" i="8"/>
  <c r="AG38" i="8"/>
  <c r="AG39" i="8"/>
  <c r="AG40" i="8"/>
  <c r="AG41" i="8"/>
  <c r="AG42" i="8"/>
  <c r="AG43" i="8"/>
  <c r="AG44" i="8"/>
  <c r="AG45" i="8"/>
  <c r="AG46" i="8"/>
  <c r="AG47" i="8"/>
  <c r="AG48" i="8"/>
  <c r="AG49" i="8"/>
  <c r="AG50" i="8"/>
  <c r="AG51" i="8"/>
  <c r="AG52" i="8"/>
  <c r="AG53" i="8"/>
  <c r="AG54" i="8"/>
  <c r="AG55" i="8"/>
  <c r="AG56" i="8"/>
  <c r="AG57" i="8"/>
  <c r="AG58" i="8"/>
  <c r="AG59" i="8"/>
  <c r="AG60" i="8"/>
  <c r="AG61" i="8"/>
  <c r="AG62" i="8"/>
  <c r="AG63" i="8"/>
  <c r="AG64" i="8"/>
  <c r="AG65" i="8"/>
  <c r="AG66" i="8"/>
  <c r="AG7" i="8"/>
  <c r="AG4" i="8"/>
  <c r="AF8" i="8" s="1"/>
  <c r="AH8" i="8" s="1"/>
  <c r="Z14" i="8"/>
  <c r="Z15" i="8"/>
  <c r="Z16" i="8"/>
  <c r="Z20" i="8"/>
  <c r="Z34" i="8"/>
  <c r="AA8" i="8"/>
  <c r="AA9" i="8"/>
  <c r="AA10" i="8"/>
  <c r="AA11" i="8"/>
  <c r="AA12" i="8"/>
  <c r="AA13" i="8"/>
  <c r="AA14" i="8"/>
  <c r="AA15" i="8"/>
  <c r="AA16" i="8"/>
  <c r="AA17" i="8"/>
  <c r="AA18" i="8"/>
  <c r="AA19" i="8"/>
  <c r="AA20" i="8"/>
  <c r="AA21" i="8"/>
  <c r="AA22" i="8"/>
  <c r="AA23" i="8"/>
  <c r="AA24" i="8"/>
  <c r="AA25" i="8"/>
  <c r="AA26" i="8"/>
  <c r="AA27" i="8"/>
  <c r="AA28" i="8"/>
  <c r="AA29" i="8"/>
  <c r="AA30" i="8"/>
  <c r="AA31" i="8"/>
  <c r="AA32" i="8"/>
  <c r="AA33" i="8"/>
  <c r="AA34" i="8"/>
  <c r="AA35" i="8"/>
  <c r="AA36" i="8"/>
  <c r="AA37" i="8"/>
  <c r="AA38" i="8"/>
  <c r="AA39" i="8"/>
  <c r="AA40" i="8"/>
  <c r="AA41" i="8"/>
  <c r="AA42" i="8"/>
  <c r="AA43" i="8"/>
  <c r="AA44" i="8"/>
  <c r="AA45" i="8"/>
  <c r="AA46" i="8"/>
  <c r="AA47" i="8"/>
  <c r="AA48" i="8"/>
  <c r="AA49" i="8"/>
  <c r="AA50" i="8"/>
  <c r="AA51" i="8"/>
  <c r="AA52" i="8"/>
  <c r="AA53" i="8"/>
  <c r="AA54" i="8"/>
  <c r="AA55" i="8"/>
  <c r="AA56" i="8"/>
  <c r="AA57" i="8"/>
  <c r="AA58" i="8"/>
  <c r="AA59" i="8"/>
  <c r="AA60" i="8"/>
  <c r="AA61" i="8"/>
  <c r="AA62" i="8"/>
  <c r="AA63" i="8"/>
  <c r="AA64" i="8"/>
  <c r="AA65" i="8"/>
  <c r="AA66" i="8"/>
  <c r="AA7" i="8"/>
  <c r="T22" i="8"/>
  <c r="V22" i="8" s="1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35" i="8"/>
  <c r="U36" i="8"/>
  <c r="U37" i="8"/>
  <c r="U38" i="8"/>
  <c r="U39" i="8"/>
  <c r="U40" i="8"/>
  <c r="U41" i="8"/>
  <c r="U42" i="8"/>
  <c r="U43" i="8"/>
  <c r="U44" i="8"/>
  <c r="U45" i="8"/>
  <c r="U46" i="8"/>
  <c r="U47" i="8"/>
  <c r="U48" i="8"/>
  <c r="U49" i="8"/>
  <c r="U50" i="8"/>
  <c r="U51" i="8"/>
  <c r="U52" i="8"/>
  <c r="U53" i="8"/>
  <c r="U54" i="8"/>
  <c r="U55" i="8"/>
  <c r="U56" i="8"/>
  <c r="U57" i="8"/>
  <c r="U58" i="8"/>
  <c r="U59" i="8"/>
  <c r="U60" i="8"/>
  <c r="U61" i="8"/>
  <c r="U62" i="8"/>
  <c r="U63" i="8"/>
  <c r="U64" i="8"/>
  <c r="U65" i="8"/>
  <c r="U66" i="8"/>
  <c r="U7" i="8"/>
  <c r="AA4" i="8"/>
  <c r="Z17" i="8" s="1"/>
  <c r="U4" i="8"/>
  <c r="T8" i="8" s="1"/>
  <c r="O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4" i="8"/>
  <c r="N8" i="8" s="1"/>
  <c r="I4" i="8"/>
  <c r="H27" i="8" s="1"/>
  <c r="C11" i="6"/>
  <c r="D11" i="6"/>
  <c r="E11" i="6"/>
  <c r="F11" i="6"/>
  <c r="B11" i="6"/>
  <c r="F37" i="3"/>
  <c r="E37" i="3"/>
  <c r="C37" i="3"/>
  <c r="D37" i="3"/>
  <c r="C11" i="3"/>
  <c r="D11" i="3"/>
  <c r="E11" i="3"/>
  <c r="F11" i="3"/>
  <c r="B11" i="3"/>
  <c r="B37" i="3"/>
  <c r="B42" i="3"/>
  <c r="P66" i="1"/>
  <c r="P65" i="1"/>
  <c r="C112" i="1"/>
  <c r="N110" i="1"/>
  <c r="N111" i="1" s="1"/>
  <c r="N112" i="1" s="1"/>
  <c r="N113" i="1" s="1"/>
  <c r="N114" i="1" s="1"/>
  <c r="M110" i="1"/>
  <c r="M111" i="1" s="1"/>
  <c r="M112" i="1" s="1"/>
  <c r="M113" i="1" s="1"/>
  <c r="M114" i="1" s="1"/>
  <c r="M115" i="1" s="1"/>
  <c r="K110" i="1"/>
  <c r="J110" i="1"/>
  <c r="H110" i="1"/>
  <c r="G110" i="1"/>
  <c r="F110" i="1"/>
  <c r="E110" i="1"/>
  <c r="K111" i="1" s="1"/>
  <c r="K112" i="1" s="1"/>
  <c r="K113" i="1" s="1"/>
  <c r="K114" i="1" s="1"/>
  <c r="D110" i="1"/>
  <c r="J111" i="1" s="1"/>
  <c r="J112" i="1" s="1"/>
  <c r="J113" i="1" s="1"/>
  <c r="J114" i="1" s="1"/>
  <c r="N95" i="1"/>
  <c r="N96" i="1" s="1"/>
  <c r="N97" i="1" s="1"/>
  <c r="N98" i="1" s="1"/>
  <c r="N99" i="1" s="1"/>
  <c r="M95" i="1"/>
  <c r="M96" i="1" s="1"/>
  <c r="M97" i="1" s="1"/>
  <c r="M98" i="1" s="1"/>
  <c r="M99" i="1" s="1"/>
  <c r="K95" i="1"/>
  <c r="J95" i="1"/>
  <c r="H95" i="1"/>
  <c r="G95" i="1"/>
  <c r="E95" i="1"/>
  <c r="D95" i="1"/>
  <c r="M68" i="1"/>
  <c r="M69" i="1" s="1"/>
  <c r="M70" i="1" s="1"/>
  <c r="M71" i="1" s="1"/>
  <c r="M72" i="1" s="1"/>
  <c r="N67" i="1"/>
  <c r="N68" i="1" s="1"/>
  <c r="N69" i="1" s="1"/>
  <c r="N70" i="1" s="1"/>
  <c r="N71" i="1" s="1"/>
  <c r="M67" i="1"/>
  <c r="C69" i="1"/>
  <c r="K67" i="1"/>
  <c r="J67" i="1"/>
  <c r="H67" i="1"/>
  <c r="G67" i="1"/>
  <c r="F67" i="1"/>
  <c r="E67" i="1"/>
  <c r="D67" i="1"/>
  <c r="N54" i="1"/>
  <c r="N55" i="1" s="1"/>
  <c r="N56" i="1" s="1"/>
  <c r="N57" i="1" s="1"/>
  <c r="N58" i="1" s="1"/>
  <c r="N76" i="1" s="1"/>
  <c r="M54" i="1"/>
  <c r="M55" i="1" s="1"/>
  <c r="M56" i="1" s="1"/>
  <c r="M57" i="1" s="1"/>
  <c r="M58" i="1" s="1"/>
  <c r="M76" i="1" s="1"/>
  <c r="K54" i="1"/>
  <c r="J54" i="1"/>
  <c r="H54" i="1"/>
  <c r="G54" i="1"/>
  <c r="E54" i="1"/>
  <c r="D54" i="1"/>
  <c r="D69" i="1" s="1"/>
  <c r="W41" i="1"/>
  <c r="AD9" i="1"/>
  <c r="AD10" i="1" s="1"/>
  <c r="AD11" i="1" s="1"/>
  <c r="AD12" i="1" s="1"/>
  <c r="AD13" i="1" s="1"/>
  <c r="AD31" i="1" s="1"/>
  <c r="X35" i="1" s="1"/>
  <c r="AC9" i="1"/>
  <c r="AC10" i="1" s="1"/>
  <c r="AC11" i="1" s="1"/>
  <c r="AC12" i="1" s="1"/>
  <c r="Z9" i="1"/>
  <c r="AA9" i="1"/>
  <c r="AA22" i="1"/>
  <c r="Z22" i="1"/>
  <c r="X22" i="1"/>
  <c r="W22" i="1"/>
  <c r="V22" i="1"/>
  <c r="U22" i="1"/>
  <c r="T22" i="1"/>
  <c r="X9" i="1"/>
  <c r="W9" i="1"/>
  <c r="U9" i="1"/>
  <c r="T9" i="1"/>
  <c r="P22" i="1"/>
  <c r="O22" i="1"/>
  <c r="N22" i="1"/>
  <c r="M22" i="1"/>
  <c r="L22" i="1"/>
  <c r="P9" i="1"/>
  <c r="O9" i="1"/>
  <c r="M9" i="1"/>
  <c r="P10" i="1" s="1"/>
  <c r="P11" i="1" s="1"/>
  <c r="P12" i="1" s="1"/>
  <c r="P13" i="1" s="1"/>
  <c r="P14" i="1" s="1"/>
  <c r="L9" i="1"/>
  <c r="O10" i="1" s="1"/>
  <c r="O11" i="1" s="1"/>
  <c r="O12" i="1" s="1"/>
  <c r="O13" i="1" s="1"/>
  <c r="O14" i="1" s="1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4" i="8"/>
  <c r="B62" i="8" s="1"/>
  <c r="E22" i="1"/>
  <c r="F22" i="1"/>
  <c r="G22" i="1"/>
  <c r="H22" i="1"/>
  <c r="D22" i="1"/>
  <c r="C66" i="7"/>
  <c r="C65" i="7"/>
  <c r="C64" i="7"/>
  <c r="C63" i="7"/>
  <c r="C62" i="7"/>
  <c r="C61" i="7"/>
  <c r="C60" i="7"/>
  <c r="C59" i="7"/>
  <c r="C58" i="7"/>
  <c r="C57" i="7"/>
  <c r="C56" i="7"/>
  <c r="B56" i="7"/>
  <c r="D56" i="7" s="1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B4" i="7"/>
  <c r="B62" i="7" s="1"/>
  <c r="C7" i="4"/>
  <c r="F32" i="6"/>
  <c r="E32" i="6"/>
  <c r="D32" i="6"/>
  <c r="C32" i="6"/>
  <c r="B32" i="6"/>
  <c r="F29" i="5"/>
  <c r="E29" i="5"/>
  <c r="D29" i="5"/>
  <c r="C29" i="5"/>
  <c r="B29" i="5"/>
  <c r="F42" i="3"/>
  <c r="E42" i="3"/>
  <c r="D42" i="3"/>
  <c r="C42" i="3"/>
  <c r="F32" i="3"/>
  <c r="E32" i="3"/>
  <c r="D32" i="3"/>
  <c r="C32" i="3"/>
  <c r="B32" i="3"/>
  <c r="F23" i="2"/>
  <c r="E23" i="2"/>
  <c r="D23" i="2"/>
  <c r="C23" i="2"/>
  <c r="B23" i="2"/>
  <c r="E9" i="1"/>
  <c r="G9" i="1"/>
  <c r="H9" i="1"/>
  <c r="D9" i="1"/>
  <c r="AF21" i="8" l="1"/>
  <c r="AF26" i="8"/>
  <c r="AH26" i="8" s="1"/>
  <c r="AF25" i="8"/>
  <c r="AF22" i="8"/>
  <c r="AH22" i="8" s="1"/>
  <c r="AF20" i="8"/>
  <c r="AF16" i="8"/>
  <c r="AH16" i="8" s="1"/>
  <c r="AF53" i="8"/>
  <c r="AF47" i="8"/>
  <c r="AF57" i="8"/>
  <c r="AF56" i="8"/>
  <c r="AF46" i="8"/>
  <c r="AF45" i="8"/>
  <c r="AH45" i="8" s="1"/>
  <c r="AF41" i="8"/>
  <c r="AF58" i="8"/>
  <c r="AH58" i="8" s="1"/>
  <c r="AF39" i="8"/>
  <c r="AH39" i="8" s="1"/>
  <c r="AF12" i="8"/>
  <c r="AH12" i="8" s="1"/>
  <c r="AH47" i="8"/>
  <c r="AF66" i="8"/>
  <c r="AH66" i="8" s="1"/>
  <c r="AF64" i="8"/>
  <c r="AH64" i="8" s="1"/>
  <c r="AF30" i="8"/>
  <c r="AH30" i="8" s="1"/>
  <c r="AF27" i="8"/>
  <c r="AH27" i="8" s="1"/>
  <c r="AF44" i="8"/>
  <c r="AH44" i="8" s="1"/>
  <c r="AF19" i="8"/>
  <c r="AH19" i="8" s="1"/>
  <c r="AF43" i="8"/>
  <c r="AH43" i="8" s="1"/>
  <c r="AF18" i="8"/>
  <c r="AH18" i="8" s="1"/>
  <c r="AF7" i="8"/>
  <c r="AH7" i="8" s="1"/>
  <c r="AF42" i="8"/>
  <c r="AF17" i="8"/>
  <c r="AH17" i="8" s="1"/>
  <c r="AH50" i="8"/>
  <c r="AI18" i="8"/>
  <c r="AF65" i="8"/>
  <c r="AF40" i="8"/>
  <c r="AH40" i="8" s="1"/>
  <c r="AF13" i="8"/>
  <c r="AH13" i="8" s="1"/>
  <c r="AF63" i="8"/>
  <c r="AH63" i="8" s="1"/>
  <c r="AF38" i="8"/>
  <c r="AH38" i="8" s="1"/>
  <c r="AF10" i="8"/>
  <c r="AH10" i="8" s="1"/>
  <c r="AF62" i="8"/>
  <c r="AH62" i="8" s="1"/>
  <c r="AF37" i="8"/>
  <c r="AH37" i="8" s="1"/>
  <c r="AH41" i="8"/>
  <c r="AF61" i="8"/>
  <c r="AH61" i="8" s="1"/>
  <c r="AF36" i="8"/>
  <c r="AH36" i="8" s="1"/>
  <c r="AF60" i="8"/>
  <c r="AH60" i="8" s="1"/>
  <c r="AF33" i="8"/>
  <c r="AF59" i="8"/>
  <c r="AH59" i="8" s="1"/>
  <c r="AF32" i="8"/>
  <c r="AH32" i="8" s="1"/>
  <c r="AF52" i="8"/>
  <c r="AH52" i="8" s="1"/>
  <c r="AF24" i="8"/>
  <c r="AH24" i="8" s="1"/>
  <c r="AF50" i="8"/>
  <c r="AF23" i="8"/>
  <c r="AI42" i="8"/>
  <c r="BD74" i="9"/>
  <c r="BE76" i="9" s="1"/>
  <c r="AV53" i="9"/>
  <c r="AX53" i="9"/>
  <c r="AY53" i="9" s="1"/>
  <c r="BK65" i="9"/>
  <c r="BP65" i="9"/>
  <c r="BN65" i="9"/>
  <c r="BO65" i="9" s="1"/>
  <c r="BE22" i="9"/>
  <c r="BD22" i="9"/>
  <c r="BC37" i="9"/>
  <c r="BD37" i="9"/>
  <c r="BE37" i="9"/>
  <c r="BL68" i="9"/>
  <c r="BN68" i="9"/>
  <c r="BO68" i="9" s="1"/>
  <c r="BP68" i="9"/>
  <c r="BE36" i="9"/>
  <c r="BE40" i="9"/>
  <c r="BE42" i="9" s="1"/>
  <c r="BG25" i="9"/>
  <c r="BD33" i="9"/>
  <c r="BA48" i="9"/>
  <c r="BE52" i="9"/>
  <c r="BA19" i="9"/>
  <c r="BA35" i="9"/>
  <c r="AQ41" i="9"/>
  <c r="BG41" i="9"/>
  <c r="BM72" i="9"/>
  <c r="BA53" i="9"/>
  <c r="BE20" i="9"/>
  <c r="AQ40" i="9"/>
  <c r="BA50" i="9"/>
  <c r="BE49" i="9"/>
  <c r="BA22" i="9"/>
  <c r="BE24" i="9"/>
  <c r="BD41" i="9"/>
  <c r="BA70" i="9"/>
  <c r="BD35" i="9"/>
  <c r="BG56" i="9"/>
  <c r="BD40" i="9"/>
  <c r="BD42" i="9" s="1"/>
  <c r="BE38" i="9"/>
  <c r="BE41" i="9" s="1"/>
  <c r="Z10" i="8"/>
  <c r="AB10" i="8" s="1"/>
  <c r="Z55" i="8"/>
  <c r="AB55" i="8" s="1"/>
  <c r="Z9" i="8"/>
  <c r="Z54" i="8"/>
  <c r="AB54" i="8" s="1"/>
  <c r="Z8" i="8"/>
  <c r="Z53" i="8"/>
  <c r="AB53" i="8" s="1"/>
  <c r="Z52" i="8"/>
  <c r="AB52" i="8" s="1"/>
  <c r="Z51" i="8"/>
  <c r="AB51" i="8" s="1"/>
  <c r="Z12" i="8"/>
  <c r="AB12" i="8" s="1"/>
  <c r="Z11" i="8"/>
  <c r="AB11" i="8" s="1"/>
  <c r="Z56" i="8"/>
  <c r="Z50" i="8"/>
  <c r="AB50" i="8" s="1"/>
  <c r="Z49" i="8"/>
  <c r="AB49" i="8" s="1"/>
  <c r="Z13" i="8"/>
  <c r="AB13" i="8" s="1"/>
  <c r="Z48" i="8"/>
  <c r="AB48" i="8" s="1"/>
  <c r="Z40" i="8"/>
  <c r="AB40" i="8" s="1"/>
  <c r="Z60" i="8"/>
  <c r="AB60" i="8" s="1"/>
  <c r="Z36" i="8"/>
  <c r="Z35" i="8"/>
  <c r="AB35" i="8" s="1"/>
  <c r="AB36" i="8"/>
  <c r="AB17" i="8"/>
  <c r="Z31" i="8"/>
  <c r="Z32" i="8"/>
  <c r="AB32" i="8" s="1"/>
  <c r="Z30" i="8"/>
  <c r="AB30" i="8" s="1"/>
  <c r="Z29" i="8"/>
  <c r="AB29" i="8" s="1"/>
  <c r="Z33" i="8"/>
  <c r="AB33" i="8" s="1"/>
  <c r="Z28" i="8"/>
  <c r="AX67" i="9"/>
  <c r="AY67" i="9" s="1"/>
  <c r="AZ67" i="9"/>
  <c r="BM55" i="9"/>
  <c r="BK54" i="9"/>
  <c r="BL54" i="9"/>
  <c r="BN54" i="9"/>
  <c r="BO54" i="9" s="1"/>
  <c r="BP54" i="9"/>
  <c r="AZ70" i="9"/>
  <c r="AX70" i="9"/>
  <c r="AY70" i="9" s="1"/>
  <c r="AW72" i="9"/>
  <c r="AQ72" i="9"/>
  <c r="AV66" i="9"/>
  <c r="AU66" i="9"/>
  <c r="AZ66" i="9"/>
  <c r="AX66" i="9"/>
  <c r="AY66" i="9" s="1"/>
  <c r="BD66" i="9"/>
  <c r="BE66" i="9"/>
  <c r="BC66" i="9"/>
  <c r="BP66" i="9"/>
  <c r="BN66" i="9"/>
  <c r="BO66" i="9" s="1"/>
  <c r="BL66" i="9"/>
  <c r="BK66" i="9"/>
  <c r="AZ69" i="9"/>
  <c r="AX69" i="9"/>
  <c r="AY69" i="9" s="1"/>
  <c r="AV69" i="9"/>
  <c r="AU69" i="9"/>
  <c r="BC69" i="9"/>
  <c r="BE69" i="9"/>
  <c r="BD69" i="9"/>
  <c r="BP69" i="9"/>
  <c r="BL69" i="9"/>
  <c r="BK69" i="9"/>
  <c r="BN69" i="9"/>
  <c r="BO69" i="9" s="1"/>
  <c r="BR72" i="9"/>
  <c r="AX68" i="9"/>
  <c r="AY68" i="9" s="1"/>
  <c r="AV68" i="9"/>
  <c r="AU68" i="9"/>
  <c r="AZ68" i="9"/>
  <c r="BE68" i="9"/>
  <c r="BD68" i="9"/>
  <c r="BC68" i="9"/>
  <c r="BC65" i="9"/>
  <c r="BE65" i="9"/>
  <c r="BD65" i="9"/>
  <c r="AZ71" i="9"/>
  <c r="AV71" i="9"/>
  <c r="AU71" i="9"/>
  <c r="AX71" i="9"/>
  <c r="AY71" i="9" s="1"/>
  <c r="BE71" i="9"/>
  <c r="BD71" i="9"/>
  <c r="BC71" i="9"/>
  <c r="BK71" i="9"/>
  <c r="BN71" i="9"/>
  <c r="BO71" i="9" s="1"/>
  <c r="BL71" i="9"/>
  <c r="BP71" i="9"/>
  <c r="BP67" i="9"/>
  <c r="BN67" i="9"/>
  <c r="BO67" i="9" s="1"/>
  <c r="BL67" i="9"/>
  <c r="BK67" i="9"/>
  <c r="BE70" i="9"/>
  <c r="BQ69" i="9"/>
  <c r="BJ70" i="9"/>
  <c r="AQ73" i="9"/>
  <c r="BG72" i="9"/>
  <c r="AT65" i="9"/>
  <c r="BQ68" i="9"/>
  <c r="BS65" i="9"/>
  <c r="BS72" i="9" s="1"/>
  <c r="BC67" i="9"/>
  <c r="BD67" i="9"/>
  <c r="BC70" i="9"/>
  <c r="BQ66" i="9"/>
  <c r="BA71" i="9"/>
  <c r="BL65" i="9"/>
  <c r="AV67" i="9"/>
  <c r="BK68" i="9"/>
  <c r="AU70" i="9"/>
  <c r="T7" i="8"/>
  <c r="T66" i="8"/>
  <c r="V66" i="8" s="1"/>
  <c r="T65" i="8"/>
  <c r="V65" i="8" s="1"/>
  <c r="T64" i="8"/>
  <c r="V64" i="8" s="1"/>
  <c r="T62" i="8"/>
  <c r="T63" i="8"/>
  <c r="V63" i="8" s="1"/>
  <c r="T61" i="8"/>
  <c r="T47" i="8"/>
  <c r="T21" i="8"/>
  <c r="V21" i="8" s="1"/>
  <c r="T46" i="8"/>
  <c r="V46" i="8" s="1"/>
  <c r="T45" i="8"/>
  <c r="T41" i="8"/>
  <c r="T26" i="8"/>
  <c r="V26" i="8" s="1"/>
  <c r="T23" i="8"/>
  <c r="V23" i="8" s="1"/>
  <c r="V7" i="8"/>
  <c r="T44" i="8"/>
  <c r="V44" i="8" s="1"/>
  <c r="T43" i="8"/>
  <c r="V43" i="8" s="1"/>
  <c r="T42" i="8"/>
  <c r="V42" i="8" s="1"/>
  <c r="V41" i="8"/>
  <c r="T27" i="8"/>
  <c r="V27" i="8" s="1"/>
  <c r="T25" i="8"/>
  <c r="T24" i="8"/>
  <c r="V24" i="8" s="1"/>
  <c r="BE54" i="9"/>
  <c r="AZ53" i="9"/>
  <c r="BD53" i="9"/>
  <c r="BE51" i="9"/>
  <c r="BE50" i="9"/>
  <c r="AQ56" i="9"/>
  <c r="BS55" i="9"/>
  <c r="BL51" i="9"/>
  <c r="BN51" i="9"/>
  <c r="BO51" i="9" s="1"/>
  <c r="BP51" i="9"/>
  <c r="BG55" i="9"/>
  <c r="AQ55" i="9"/>
  <c r="AW55" i="9"/>
  <c r="AZ49" i="9"/>
  <c r="AX49" i="9"/>
  <c r="AY49" i="9" s="1"/>
  <c r="AV49" i="9"/>
  <c r="AU49" i="9"/>
  <c r="AX54" i="9"/>
  <c r="AY54" i="9" s="1"/>
  <c r="AU54" i="9"/>
  <c r="AV54" i="9"/>
  <c r="AZ54" i="9"/>
  <c r="AV50" i="9"/>
  <c r="AU50" i="9"/>
  <c r="AZ50" i="9"/>
  <c r="AX50" i="9"/>
  <c r="AY50" i="9" s="1"/>
  <c r="AZ52" i="9"/>
  <c r="AX52" i="9"/>
  <c r="AY52" i="9" s="1"/>
  <c r="AV52" i="9"/>
  <c r="AU52" i="9"/>
  <c r="BC54" i="9"/>
  <c r="BC52" i="9"/>
  <c r="BC51" i="9"/>
  <c r="BC49" i="9"/>
  <c r="BL52" i="9"/>
  <c r="BP52" i="9"/>
  <c r="BN52" i="9"/>
  <c r="BO52" i="9" s="1"/>
  <c r="BK52" i="9"/>
  <c r="BC48" i="9"/>
  <c r="BP50" i="9"/>
  <c r="BN50" i="9"/>
  <c r="BO50" i="9" s="1"/>
  <c r="BL50" i="9"/>
  <c r="BK50" i="9"/>
  <c r="BA55" i="9"/>
  <c r="BL48" i="9"/>
  <c r="BK48" i="9"/>
  <c r="BN48" i="9"/>
  <c r="BP48" i="9"/>
  <c r="AX51" i="9"/>
  <c r="AY51" i="9" s="1"/>
  <c r="AU51" i="9"/>
  <c r="AV51" i="9"/>
  <c r="AZ51" i="9"/>
  <c r="BJ49" i="9"/>
  <c r="BQ51" i="9"/>
  <c r="BC50" i="9"/>
  <c r="BQ54" i="9"/>
  <c r="BQ49" i="9"/>
  <c r="BR55" i="9"/>
  <c r="BQ52" i="9"/>
  <c r="BJ53" i="9"/>
  <c r="AT48" i="9"/>
  <c r="BC53" i="9"/>
  <c r="BK51" i="9"/>
  <c r="AU53" i="9"/>
  <c r="AU56" i="9" s="1"/>
  <c r="AW40" i="9"/>
  <c r="BM40" i="9"/>
  <c r="BG40" i="9"/>
  <c r="BP35" i="9"/>
  <c r="BN35" i="9"/>
  <c r="BO35" i="9" s="1"/>
  <c r="BL35" i="9"/>
  <c r="BK35" i="9"/>
  <c r="AZ38" i="9"/>
  <c r="AX38" i="9"/>
  <c r="AY38" i="9" s="1"/>
  <c r="AV38" i="9"/>
  <c r="AU38" i="9"/>
  <c r="AV36" i="9"/>
  <c r="AU36" i="9"/>
  <c r="AZ36" i="9"/>
  <c r="AX36" i="9"/>
  <c r="AY36" i="9" s="1"/>
  <c r="BC36" i="9"/>
  <c r="BP36" i="9"/>
  <c r="BN36" i="9"/>
  <c r="BO36" i="9" s="1"/>
  <c r="BL36" i="9"/>
  <c r="BK36" i="9"/>
  <c r="BL34" i="9"/>
  <c r="BP34" i="9"/>
  <c r="BN34" i="9"/>
  <c r="BO34" i="9" s="1"/>
  <c r="BK34" i="9"/>
  <c r="AZ37" i="9"/>
  <c r="AX37" i="9"/>
  <c r="AY37" i="9" s="1"/>
  <c r="AV37" i="9"/>
  <c r="AU37" i="9"/>
  <c r="AU35" i="9"/>
  <c r="AX35" i="9"/>
  <c r="AY35" i="9" s="1"/>
  <c r="AV35" i="9"/>
  <c r="AZ35" i="9"/>
  <c r="BC33" i="9"/>
  <c r="BK33" i="9"/>
  <c r="BN33" i="9"/>
  <c r="BL33" i="9"/>
  <c r="BP33" i="9"/>
  <c r="BJ40" i="9"/>
  <c r="BS40" i="9"/>
  <c r="BC34" i="9"/>
  <c r="BK37" i="9"/>
  <c r="BP37" i="9"/>
  <c r="BN37" i="9"/>
  <c r="BO37" i="9" s="1"/>
  <c r="BL37" i="9"/>
  <c r="BP38" i="9"/>
  <c r="BL38" i="9"/>
  <c r="BK38" i="9"/>
  <c r="BN38" i="9"/>
  <c r="BO38" i="9" s="1"/>
  <c r="AZ34" i="9"/>
  <c r="AX34" i="9"/>
  <c r="AY34" i="9" s="1"/>
  <c r="AV34" i="9"/>
  <c r="AU34" i="9"/>
  <c r="AV39" i="9"/>
  <c r="AU39" i="9"/>
  <c r="AZ39" i="9"/>
  <c r="AX39" i="9"/>
  <c r="AY39" i="9" s="1"/>
  <c r="BC39" i="9"/>
  <c r="AT33" i="9"/>
  <c r="BQ36" i="9"/>
  <c r="BC38" i="9"/>
  <c r="BA33" i="9"/>
  <c r="BQ34" i="9"/>
  <c r="BR40" i="9"/>
  <c r="BQ37" i="9"/>
  <c r="BA39" i="9"/>
  <c r="BP39" i="9"/>
  <c r="BK39" i="9"/>
  <c r="BL39" i="9"/>
  <c r="BE18" i="9"/>
  <c r="AW25" i="9"/>
  <c r="BE19" i="9"/>
  <c r="BM25" i="9"/>
  <c r="BN22" i="9"/>
  <c r="BO22" i="9" s="1"/>
  <c r="BL22" i="9"/>
  <c r="BK22" i="9"/>
  <c r="BP22" i="9"/>
  <c r="BC20" i="9"/>
  <c r="AX21" i="9"/>
  <c r="AY21" i="9" s="1"/>
  <c r="AZ21" i="9"/>
  <c r="AV21" i="9"/>
  <c r="AU21" i="9"/>
  <c r="BP21" i="9"/>
  <c r="BN21" i="9"/>
  <c r="BO21" i="9" s="1"/>
  <c r="BL21" i="9"/>
  <c r="BK21" i="9"/>
  <c r="BC24" i="9"/>
  <c r="BP24" i="9"/>
  <c r="BL24" i="9"/>
  <c r="BN24" i="9"/>
  <c r="BO24" i="9" s="1"/>
  <c r="BK24" i="9"/>
  <c r="BN19" i="9"/>
  <c r="BO19" i="9" s="1"/>
  <c r="BK19" i="9"/>
  <c r="BP19" i="9"/>
  <c r="AZ20" i="9"/>
  <c r="AX20" i="9"/>
  <c r="AY20" i="9" s="1"/>
  <c r="AV20" i="9"/>
  <c r="AU20" i="9"/>
  <c r="BL20" i="9"/>
  <c r="BK20" i="9"/>
  <c r="BP20" i="9"/>
  <c r="BN20" i="9"/>
  <c r="BO20" i="9" s="1"/>
  <c r="AT25" i="9"/>
  <c r="AZ18" i="9"/>
  <c r="AX18" i="9"/>
  <c r="AV18" i="9"/>
  <c r="AU18" i="9"/>
  <c r="AU25" i="9" s="1"/>
  <c r="BC18" i="9"/>
  <c r="BC25" i="9" s="1"/>
  <c r="BB25" i="9"/>
  <c r="BK23" i="9"/>
  <c r="BP23" i="9"/>
  <c r="BN23" i="9"/>
  <c r="BO23" i="9" s="1"/>
  <c r="BL23" i="9"/>
  <c r="BS18" i="9"/>
  <c r="BS25" i="9" s="1"/>
  <c r="BR25" i="9"/>
  <c r="BC21" i="9"/>
  <c r="AV19" i="9"/>
  <c r="AZ19" i="9"/>
  <c r="AX19" i="9"/>
  <c r="AY19" i="9" s="1"/>
  <c r="AU19" i="9"/>
  <c r="AV22" i="9"/>
  <c r="AU22" i="9"/>
  <c r="AZ22" i="9"/>
  <c r="AX22" i="9"/>
  <c r="AY22" i="9" s="1"/>
  <c r="BA25" i="9"/>
  <c r="AX23" i="9"/>
  <c r="AY23" i="9" s="1"/>
  <c r="AV23" i="9"/>
  <c r="AZ23" i="9"/>
  <c r="AU23" i="9"/>
  <c r="BC23" i="9"/>
  <c r="AX24" i="9"/>
  <c r="AY24" i="9" s="1"/>
  <c r="AU24" i="9"/>
  <c r="AV24" i="9"/>
  <c r="AZ24" i="9"/>
  <c r="BA21" i="9"/>
  <c r="BJ18" i="9"/>
  <c r="BQ20" i="9"/>
  <c r="BC19" i="9"/>
  <c r="BQ23" i="9"/>
  <c r="BQ24" i="9"/>
  <c r="AQ25" i="9"/>
  <c r="BC22" i="9"/>
  <c r="BQ18" i="9"/>
  <c r="BQ25" i="9" s="1"/>
  <c r="BG11" i="9"/>
  <c r="BQ9" i="9"/>
  <c r="BQ7" i="9"/>
  <c r="BQ6" i="9"/>
  <c r="BQ10" i="9"/>
  <c r="BQ8" i="9"/>
  <c r="BQ5" i="9"/>
  <c r="AV7" i="9"/>
  <c r="AU7" i="9"/>
  <c r="BC7" i="9"/>
  <c r="BE7" i="9"/>
  <c r="AV9" i="9"/>
  <c r="AU9" i="9"/>
  <c r="AZ9" i="9"/>
  <c r="AX9" i="9"/>
  <c r="AY9" i="9" s="1"/>
  <c r="BD8" i="9"/>
  <c r="BC8" i="9"/>
  <c r="BP4" i="9"/>
  <c r="BL4" i="9"/>
  <c r="BN4" i="9"/>
  <c r="BO4" i="9" s="1"/>
  <c r="BK4" i="9"/>
  <c r="BP5" i="9"/>
  <c r="BK5" i="9"/>
  <c r="BL5" i="9"/>
  <c r="BN5" i="9"/>
  <c r="BO5" i="9" s="1"/>
  <c r="BL10" i="9"/>
  <c r="BN10" i="9"/>
  <c r="BO10" i="9" s="1"/>
  <c r="BK10" i="9"/>
  <c r="BP10" i="9"/>
  <c r="BP7" i="9"/>
  <c r="BQ4" i="9"/>
  <c r="BK9" i="9"/>
  <c r="BN9" i="9"/>
  <c r="BO9" i="9" s="1"/>
  <c r="BK8" i="9"/>
  <c r="BK6" i="9"/>
  <c r="BL9" i="9"/>
  <c r="BL8" i="9"/>
  <c r="BL7" i="9"/>
  <c r="BL6" i="9"/>
  <c r="BP8" i="9"/>
  <c r="BP6" i="9"/>
  <c r="BK7" i="9"/>
  <c r="BR5" i="9"/>
  <c r="BS5" i="9" s="1"/>
  <c r="BM11" i="9"/>
  <c r="BR11" i="9"/>
  <c r="BJ11" i="9"/>
  <c r="BD10" i="9"/>
  <c r="BC10" i="9"/>
  <c r="BE10" i="9"/>
  <c r="AV6" i="9"/>
  <c r="AX6" i="9"/>
  <c r="AY6" i="9" s="1"/>
  <c r="AZ6" i="9"/>
  <c r="AU6" i="9"/>
  <c r="BD5" i="9"/>
  <c r="BC5" i="9"/>
  <c r="BE5" i="9"/>
  <c r="AU10" i="9"/>
  <c r="AX10" i="9"/>
  <c r="AY10" i="9" s="1"/>
  <c r="AU5" i="9"/>
  <c r="AU11" i="9" s="1"/>
  <c r="AX5" i="9"/>
  <c r="AY5" i="9" s="1"/>
  <c r="AW11" i="9"/>
  <c r="BC4" i="9"/>
  <c r="AZ4" i="9"/>
  <c r="AX4" i="9"/>
  <c r="AY4" i="9" s="1"/>
  <c r="AV8" i="9"/>
  <c r="BA11" i="9"/>
  <c r="AV4" i="9"/>
  <c r="AU8" i="9"/>
  <c r="BD7" i="9"/>
  <c r="BD9" i="9"/>
  <c r="BC9" i="9"/>
  <c r="AZ7" i="9"/>
  <c r="BE8" i="9"/>
  <c r="AX7" i="9"/>
  <c r="AY7" i="9" s="1"/>
  <c r="AZ10" i="9"/>
  <c r="AZ5" i="9"/>
  <c r="BE6" i="9"/>
  <c r="AV10" i="9"/>
  <c r="AZ8" i="9"/>
  <c r="BD6" i="9"/>
  <c r="AV5" i="9"/>
  <c r="BE4" i="9"/>
  <c r="AQ11" i="9"/>
  <c r="AT11" i="9"/>
  <c r="BB11" i="9"/>
  <c r="AB56" i="8"/>
  <c r="AB8" i="8"/>
  <c r="Z7" i="8"/>
  <c r="AB7" i="8" s="1"/>
  <c r="Z47" i="8"/>
  <c r="Z27" i="8"/>
  <c r="Z66" i="8"/>
  <c r="AB66" i="8" s="1"/>
  <c r="Z46" i="8"/>
  <c r="AB46" i="8" s="1"/>
  <c r="Z26" i="8"/>
  <c r="Z65" i="8"/>
  <c r="AB65" i="8" s="1"/>
  <c r="Z45" i="8"/>
  <c r="AB45" i="8" s="1"/>
  <c r="Z25" i="8"/>
  <c r="AB25" i="8" s="1"/>
  <c r="Z24" i="8"/>
  <c r="Z63" i="8"/>
  <c r="AB63" i="8" s="1"/>
  <c r="Z43" i="8"/>
  <c r="AB43" i="8" s="1"/>
  <c r="Z23" i="8"/>
  <c r="Z64" i="8"/>
  <c r="AB64" i="8" s="1"/>
  <c r="Z44" i="8"/>
  <c r="AB44" i="8" s="1"/>
  <c r="Z62" i="8"/>
  <c r="AB62" i="8" s="1"/>
  <c r="Z42" i="8"/>
  <c r="AB42" i="8" s="1"/>
  <c r="Z22" i="8"/>
  <c r="AB22" i="8" s="1"/>
  <c r="Z61" i="8"/>
  <c r="Z41" i="8"/>
  <c r="Z21" i="8"/>
  <c r="AB21" i="8" s="1"/>
  <c r="Z59" i="8"/>
  <c r="AB59" i="8" s="1"/>
  <c r="Z39" i="8"/>
  <c r="Z19" i="8"/>
  <c r="AB19" i="8" s="1"/>
  <c r="Z58" i="8"/>
  <c r="AB58" i="8" s="1"/>
  <c r="Z38" i="8"/>
  <c r="Z18" i="8"/>
  <c r="AB18" i="8" s="1"/>
  <c r="Z57" i="8"/>
  <c r="AB57" i="8" s="1"/>
  <c r="Z37" i="8"/>
  <c r="AB37" i="8" s="1"/>
  <c r="AH57" i="8"/>
  <c r="AH56" i="8"/>
  <c r="AF55" i="8"/>
  <c r="AH55" i="8" s="1"/>
  <c r="AF35" i="8"/>
  <c r="AH35" i="8" s="1"/>
  <c r="AF15" i="8"/>
  <c r="AH15" i="8" s="1"/>
  <c r="AF54" i="8"/>
  <c r="AH54" i="8" s="1"/>
  <c r="AF34" i="8"/>
  <c r="AH34" i="8" s="1"/>
  <c r="AF14" i="8"/>
  <c r="AH14" i="8" s="1"/>
  <c r="AI66" i="8"/>
  <c r="AH33" i="8"/>
  <c r="AI30" i="8"/>
  <c r="AF51" i="8"/>
  <c r="AH51" i="8" s="1"/>
  <c r="AF31" i="8"/>
  <c r="AH31" i="8" s="1"/>
  <c r="AF11" i="8"/>
  <c r="AH11" i="8" s="1"/>
  <c r="AH23" i="8"/>
  <c r="AH53" i="8"/>
  <c r="AF49" i="8"/>
  <c r="AH49" i="8" s="1"/>
  <c r="AF29" i="8"/>
  <c r="AH29" i="8" s="1"/>
  <c r="AF9" i="8"/>
  <c r="AH9" i="8" s="1"/>
  <c r="AH42" i="8"/>
  <c r="AH21" i="8"/>
  <c r="AF48" i="8"/>
  <c r="AH48" i="8" s="1"/>
  <c r="AF28" i="8"/>
  <c r="AH28" i="8" s="1"/>
  <c r="AH65" i="8"/>
  <c r="AH46" i="8"/>
  <c r="AH25" i="8"/>
  <c r="AH20" i="8"/>
  <c r="AI54" i="8"/>
  <c r="W30" i="8"/>
  <c r="T60" i="8"/>
  <c r="V60" i="8" s="1"/>
  <c r="T20" i="8"/>
  <c r="V20" i="8" s="1"/>
  <c r="T59" i="8"/>
  <c r="V59" i="8" s="1"/>
  <c r="T19" i="8"/>
  <c r="V19" i="8" s="1"/>
  <c r="T58" i="8"/>
  <c r="V58" i="8" s="1"/>
  <c r="T18" i="8"/>
  <c r="V18" i="8" s="1"/>
  <c r="T57" i="8"/>
  <c r="V57" i="8" s="1"/>
  <c r="T17" i="8"/>
  <c r="V17" i="8" s="1"/>
  <c r="T36" i="8"/>
  <c r="V36" i="8" s="1"/>
  <c r="T55" i="8"/>
  <c r="V55" i="8" s="1"/>
  <c r="T15" i="8"/>
  <c r="V15" i="8" s="1"/>
  <c r="T34" i="8"/>
  <c r="V34" i="8" s="1"/>
  <c r="T53" i="8"/>
  <c r="V53" i="8" s="1"/>
  <c r="T13" i="8"/>
  <c r="V13" i="8" s="1"/>
  <c r="T52" i="8"/>
  <c r="V52" i="8" s="1"/>
  <c r="T31" i="8"/>
  <c r="V31" i="8" s="1"/>
  <c r="T11" i="8"/>
  <c r="V11" i="8" s="1"/>
  <c r="W42" i="8"/>
  <c r="T50" i="8"/>
  <c r="V50" i="8" s="1"/>
  <c r="T10" i="8"/>
  <c r="V10" i="8" s="1"/>
  <c r="T49" i="8"/>
  <c r="V49" i="8" s="1"/>
  <c r="T29" i="8"/>
  <c r="V29" i="8" s="1"/>
  <c r="T9" i="8"/>
  <c r="W18" i="8"/>
  <c r="W66" i="8"/>
  <c r="T40" i="8"/>
  <c r="V40" i="8" s="1"/>
  <c r="T39" i="8"/>
  <c r="V39" i="8" s="1"/>
  <c r="T38" i="8"/>
  <c r="V38" i="8" s="1"/>
  <c r="T37" i="8"/>
  <c r="V37" i="8" s="1"/>
  <c r="T56" i="8"/>
  <c r="V56" i="8" s="1"/>
  <c r="T16" i="8"/>
  <c r="V16" i="8" s="1"/>
  <c r="T35" i="8"/>
  <c r="V35" i="8" s="1"/>
  <c r="T54" i="8"/>
  <c r="V54" i="8" s="1"/>
  <c r="T14" i="8"/>
  <c r="V14" i="8" s="1"/>
  <c r="T33" i="8"/>
  <c r="V33" i="8" s="1"/>
  <c r="T32" i="8"/>
  <c r="V32" i="8" s="1"/>
  <c r="T12" i="8"/>
  <c r="V12" i="8" s="1"/>
  <c r="T51" i="8"/>
  <c r="V51" i="8" s="1"/>
  <c r="T30" i="8"/>
  <c r="V30" i="8" s="1"/>
  <c r="T48" i="8"/>
  <c r="V48" i="8" s="1"/>
  <c r="T28" i="8"/>
  <c r="V28" i="8" s="1"/>
  <c r="AC30" i="8"/>
  <c r="AC42" i="8"/>
  <c r="AB20" i="8"/>
  <c r="AB38" i="8"/>
  <c r="AB39" i="8"/>
  <c r="AC66" i="8"/>
  <c r="AB9" i="8"/>
  <c r="AB28" i="8"/>
  <c r="AB23" i="8"/>
  <c r="AB24" i="8"/>
  <c r="AB41" i="8"/>
  <c r="AB26" i="8"/>
  <c r="AB27" i="8"/>
  <c r="AB61" i="8"/>
  <c r="AB31" i="8"/>
  <c r="AB14" i="8"/>
  <c r="AB15" i="8"/>
  <c r="AB47" i="8"/>
  <c r="AB16" i="8"/>
  <c r="AB34" i="8"/>
  <c r="V8" i="8"/>
  <c r="V9" i="8"/>
  <c r="V25" i="8"/>
  <c r="V45" i="8"/>
  <c r="V61" i="8"/>
  <c r="V62" i="8"/>
  <c r="V47" i="8"/>
  <c r="AC54" i="8"/>
  <c r="AC18" i="8"/>
  <c r="F33" i="5" s="1"/>
  <c r="W54" i="8"/>
  <c r="K18" i="8"/>
  <c r="C33" i="5" s="1"/>
  <c r="H19" i="8"/>
  <c r="J19" i="8" s="1"/>
  <c r="H11" i="8"/>
  <c r="J11" i="8" s="1"/>
  <c r="N52" i="8"/>
  <c r="P52" i="8" s="1"/>
  <c r="N51" i="8"/>
  <c r="P51" i="8" s="1"/>
  <c r="N47" i="8"/>
  <c r="N46" i="8"/>
  <c r="P46" i="8" s="1"/>
  <c r="N45" i="8"/>
  <c r="P45" i="8" s="1"/>
  <c r="N42" i="8"/>
  <c r="P42" i="8" s="1"/>
  <c r="N41" i="8"/>
  <c r="H21" i="8"/>
  <c r="H20" i="8"/>
  <c r="J20" i="8" s="1"/>
  <c r="N43" i="8"/>
  <c r="P43" i="8" s="1"/>
  <c r="N32" i="8"/>
  <c r="P32" i="8" s="1"/>
  <c r="H22" i="8"/>
  <c r="J22" i="8" s="1"/>
  <c r="N44" i="8"/>
  <c r="P44" i="8" s="1"/>
  <c r="N31" i="8"/>
  <c r="P31" i="8" s="1"/>
  <c r="H9" i="8"/>
  <c r="J9" i="8" s="1"/>
  <c r="N7" i="8"/>
  <c r="P7" i="8" s="1"/>
  <c r="N25" i="8"/>
  <c r="P25" i="8" s="1"/>
  <c r="H45" i="8"/>
  <c r="J45" i="8" s="1"/>
  <c r="H44" i="8"/>
  <c r="J44" i="8" s="1"/>
  <c r="K66" i="8"/>
  <c r="K54" i="8"/>
  <c r="N64" i="8"/>
  <c r="P64" i="8" s="1"/>
  <c r="N23" i="8"/>
  <c r="P23" i="8" s="1"/>
  <c r="H43" i="8"/>
  <c r="J43" i="8" s="1"/>
  <c r="N63" i="8"/>
  <c r="P63" i="8" s="1"/>
  <c r="N22" i="8"/>
  <c r="P22" i="8" s="1"/>
  <c r="H61" i="8"/>
  <c r="J61" i="8" s="1"/>
  <c r="H58" i="8"/>
  <c r="J58" i="8" s="1"/>
  <c r="N24" i="8"/>
  <c r="P24" i="8" s="1"/>
  <c r="H40" i="8"/>
  <c r="J40" i="8" s="1"/>
  <c r="N21" i="8"/>
  <c r="P21" i="8" s="1"/>
  <c r="H24" i="8"/>
  <c r="J24" i="8" s="1"/>
  <c r="N61" i="8"/>
  <c r="P61" i="8" s="1"/>
  <c r="N12" i="8"/>
  <c r="P12" i="8" s="1"/>
  <c r="H10" i="8"/>
  <c r="J10" i="8" s="1"/>
  <c r="H60" i="8"/>
  <c r="J60" i="8" s="1"/>
  <c r="H59" i="8"/>
  <c r="J59" i="8" s="1"/>
  <c r="H51" i="8"/>
  <c r="J51" i="8" s="1"/>
  <c r="H50" i="8"/>
  <c r="J50" i="8" s="1"/>
  <c r="P8" i="8"/>
  <c r="J27" i="8"/>
  <c r="N27" i="8"/>
  <c r="P27" i="8" s="1"/>
  <c r="H49" i="8"/>
  <c r="J49" i="8" s="1"/>
  <c r="N26" i="8"/>
  <c r="P26" i="8" s="1"/>
  <c r="H46" i="8"/>
  <c r="J46" i="8" s="1"/>
  <c r="N66" i="8"/>
  <c r="N65" i="8"/>
  <c r="P65" i="8" s="1"/>
  <c r="P41" i="8"/>
  <c r="K42" i="8"/>
  <c r="N62" i="8"/>
  <c r="P62" i="8" s="1"/>
  <c r="H23" i="8"/>
  <c r="J23" i="8" s="1"/>
  <c r="K30" i="8"/>
  <c r="N60" i="8"/>
  <c r="P60" i="8" s="1"/>
  <c r="N11" i="8"/>
  <c r="P11" i="8" s="1"/>
  <c r="N40" i="8"/>
  <c r="P40" i="8" s="1"/>
  <c r="N19" i="8"/>
  <c r="P19" i="8" s="1"/>
  <c r="N58" i="8"/>
  <c r="P58" i="8" s="1"/>
  <c r="N17" i="8"/>
  <c r="P17" i="8" s="1"/>
  <c r="N56" i="8"/>
  <c r="P56" i="8" s="1"/>
  <c r="N36" i="8"/>
  <c r="P36" i="8" s="1"/>
  <c r="N16" i="8"/>
  <c r="P16" i="8" s="1"/>
  <c r="N59" i="8"/>
  <c r="P59" i="8" s="1"/>
  <c r="N57" i="8"/>
  <c r="P57" i="8" s="1"/>
  <c r="N37" i="8"/>
  <c r="P37" i="8" s="1"/>
  <c r="N55" i="8"/>
  <c r="P55" i="8" s="1"/>
  <c r="N35" i="8"/>
  <c r="P35" i="8" s="1"/>
  <c r="N15" i="8"/>
  <c r="P15" i="8" s="1"/>
  <c r="N38" i="8"/>
  <c r="P38" i="8" s="1"/>
  <c r="N20" i="8"/>
  <c r="P20" i="8" s="1"/>
  <c r="N39" i="8"/>
  <c r="P39" i="8" s="1"/>
  <c r="N18" i="8"/>
  <c r="P18" i="8" s="1"/>
  <c r="N54" i="8"/>
  <c r="P54" i="8" s="1"/>
  <c r="N34" i="8"/>
  <c r="P34" i="8" s="1"/>
  <c r="N14" i="8"/>
  <c r="P14" i="8" s="1"/>
  <c r="N53" i="8"/>
  <c r="P53" i="8" s="1"/>
  <c r="N33" i="8"/>
  <c r="P33" i="8" s="1"/>
  <c r="N13" i="8"/>
  <c r="P13" i="8" s="1"/>
  <c r="N10" i="8"/>
  <c r="P10" i="8" s="1"/>
  <c r="N49" i="8"/>
  <c r="P49" i="8" s="1"/>
  <c r="N29" i="8"/>
  <c r="P29" i="8" s="1"/>
  <c r="N9" i="8"/>
  <c r="P9" i="8" s="1"/>
  <c r="N50" i="8"/>
  <c r="P50" i="8" s="1"/>
  <c r="N30" i="8"/>
  <c r="P30" i="8" s="1"/>
  <c r="N48" i="8"/>
  <c r="P48" i="8" s="1"/>
  <c r="N28" i="8"/>
  <c r="P28" i="8" s="1"/>
  <c r="P66" i="8"/>
  <c r="P47" i="8"/>
  <c r="Q18" i="8"/>
  <c r="J21" i="8"/>
  <c r="Q30" i="8"/>
  <c r="Q66" i="8"/>
  <c r="Q54" i="8"/>
  <c r="Q42" i="8"/>
  <c r="H42" i="8"/>
  <c r="J42" i="8" s="1"/>
  <c r="H41" i="8"/>
  <c r="J41" i="8" s="1"/>
  <c r="H66" i="8"/>
  <c r="J66" i="8" s="1"/>
  <c r="H31" i="8"/>
  <c r="J31" i="8" s="1"/>
  <c r="H39" i="8"/>
  <c r="J39" i="8" s="1"/>
  <c r="H65" i="8"/>
  <c r="J65" i="8" s="1"/>
  <c r="H30" i="8"/>
  <c r="J30" i="8" s="1"/>
  <c r="H64" i="8"/>
  <c r="J64" i="8" s="1"/>
  <c r="H29" i="8"/>
  <c r="J29" i="8" s="1"/>
  <c r="H63" i="8"/>
  <c r="J63" i="8" s="1"/>
  <c r="H26" i="8"/>
  <c r="J26" i="8" s="1"/>
  <c r="H62" i="8"/>
  <c r="J62" i="8" s="1"/>
  <c r="H25" i="8"/>
  <c r="J25" i="8" s="1"/>
  <c r="H18" i="8"/>
  <c r="J18" i="8" s="1"/>
  <c r="H57" i="8"/>
  <c r="J57" i="8" s="1"/>
  <c r="H17" i="8"/>
  <c r="J17" i="8" s="1"/>
  <c r="H16" i="8"/>
  <c r="J16" i="8" s="1"/>
  <c r="H55" i="8"/>
  <c r="J55" i="8" s="1"/>
  <c r="H35" i="8"/>
  <c r="J35" i="8" s="1"/>
  <c r="H15" i="8"/>
  <c r="J15" i="8" s="1"/>
  <c r="H56" i="8"/>
  <c r="J56" i="8" s="1"/>
  <c r="H54" i="8"/>
  <c r="J54" i="8" s="1"/>
  <c r="H34" i="8"/>
  <c r="J34" i="8" s="1"/>
  <c r="H14" i="8"/>
  <c r="J14" i="8" s="1"/>
  <c r="H53" i="8"/>
  <c r="J53" i="8" s="1"/>
  <c r="H33" i="8"/>
  <c r="J33" i="8" s="1"/>
  <c r="H13" i="8"/>
  <c r="J13" i="8" s="1"/>
  <c r="H38" i="8"/>
  <c r="J38" i="8" s="1"/>
  <c r="H37" i="8"/>
  <c r="J37" i="8" s="1"/>
  <c r="H36" i="8"/>
  <c r="J36" i="8" s="1"/>
  <c r="H52" i="8"/>
  <c r="J52" i="8" s="1"/>
  <c r="H32" i="8"/>
  <c r="J32" i="8" s="1"/>
  <c r="H12" i="8"/>
  <c r="J12" i="8" s="1"/>
  <c r="H48" i="8"/>
  <c r="J48" i="8" s="1"/>
  <c r="H28" i="8"/>
  <c r="J28" i="8" s="1"/>
  <c r="H8" i="8"/>
  <c r="J8" i="8" s="1"/>
  <c r="H7" i="8"/>
  <c r="H47" i="8"/>
  <c r="J47" i="8" s="1"/>
  <c r="B31" i="7"/>
  <c r="D31" i="7" s="1"/>
  <c r="B50" i="7"/>
  <c r="D50" i="7" s="1"/>
  <c r="E42" i="7"/>
  <c r="B13" i="7"/>
  <c r="D13" i="7" s="1"/>
  <c r="K96" i="1"/>
  <c r="K97" i="1" s="1"/>
  <c r="K98" i="1" s="1"/>
  <c r="K99" i="1" s="1"/>
  <c r="J68" i="1"/>
  <c r="J69" i="1" s="1"/>
  <c r="J70" i="1" s="1"/>
  <c r="J71" i="1" s="1"/>
  <c r="T24" i="1"/>
  <c r="J96" i="1"/>
  <c r="J97" i="1" s="1"/>
  <c r="J98" i="1" s="1"/>
  <c r="J99" i="1" s="1"/>
  <c r="J100" i="1" s="1"/>
  <c r="J101" i="1" s="1"/>
  <c r="Z10" i="1"/>
  <c r="AA23" i="1"/>
  <c r="AA24" i="1" s="1"/>
  <c r="AA25" i="1" s="1"/>
  <c r="AA26" i="1" s="1"/>
  <c r="G23" i="1"/>
  <c r="G24" i="1" s="1"/>
  <c r="G25" i="1" s="1"/>
  <c r="G26" i="1" s="1"/>
  <c r="G27" i="1" s="1"/>
  <c r="AA10" i="1"/>
  <c r="AA11" i="1" s="1"/>
  <c r="AA12" i="1" s="1"/>
  <c r="AA13" i="1" s="1"/>
  <c r="M119" i="1"/>
  <c r="M100" i="1"/>
  <c r="N100" i="1"/>
  <c r="N101" i="1"/>
  <c r="N119" i="1"/>
  <c r="H123" i="1" s="1"/>
  <c r="J115" i="1"/>
  <c r="J119" i="1"/>
  <c r="K101" i="1"/>
  <c r="K100" i="1"/>
  <c r="K119" i="1"/>
  <c r="G123" i="1" s="1"/>
  <c r="I123" i="1" s="1"/>
  <c r="N117" i="1"/>
  <c r="M116" i="1"/>
  <c r="D112" i="1"/>
  <c r="M73" i="1"/>
  <c r="N74" i="1"/>
  <c r="J55" i="1"/>
  <c r="J56" i="1" s="1"/>
  <c r="J57" i="1" s="1"/>
  <c r="J58" i="1" s="1"/>
  <c r="J59" i="1" s="1"/>
  <c r="K68" i="1"/>
  <c r="K69" i="1" s="1"/>
  <c r="K70" i="1" s="1"/>
  <c r="K71" i="1" s="1"/>
  <c r="K55" i="1"/>
  <c r="K56" i="1" s="1"/>
  <c r="K57" i="1" s="1"/>
  <c r="K58" i="1" s="1"/>
  <c r="K59" i="1" s="1"/>
  <c r="M59" i="1"/>
  <c r="J76" i="1"/>
  <c r="J72" i="1"/>
  <c r="N60" i="1"/>
  <c r="N59" i="1"/>
  <c r="H80" i="1"/>
  <c r="Z23" i="1"/>
  <c r="Z24" i="1" s="1"/>
  <c r="Z25" i="1" s="1"/>
  <c r="Z26" i="1" s="1"/>
  <c r="Z27" i="1" s="1"/>
  <c r="H23" i="1"/>
  <c r="H24" i="1" s="1"/>
  <c r="H25" i="1" s="1"/>
  <c r="H26" i="1" s="1"/>
  <c r="G28" i="1" s="1"/>
  <c r="AD15" i="1"/>
  <c r="AD14" i="1"/>
  <c r="G10" i="1"/>
  <c r="G11" i="1" s="1"/>
  <c r="G12" i="1" s="1"/>
  <c r="G13" i="1" s="1"/>
  <c r="P15" i="1"/>
  <c r="P16" i="1" s="1"/>
  <c r="AC13" i="1"/>
  <c r="Z11" i="1"/>
  <c r="Z12" i="1" s="1"/>
  <c r="Z13" i="1" s="1"/>
  <c r="Z14" i="1" s="1"/>
  <c r="O23" i="1"/>
  <c r="O24" i="1" s="1"/>
  <c r="O25" i="1" s="1"/>
  <c r="O26" i="1" s="1"/>
  <c r="O27" i="1" s="1"/>
  <c r="P29" i="1" s="1"/>
  <c r="P23" i="1"/>
  <c r="P24" i="1" s="1"/>
  <c r="P25" i="1" s="1"/>
  <c r="P26" i="1" s="1"/>
  <c r="O15" i="1"/>
  <c r="H29" i="1"/>
  <c r="D62" i="8"/>
  <c r="B31" i="8"/>
  <c r="D31" i="8" s="1"/>
  <c r="B50" i="8"/>
  <c r="D50" i="8" s="1"/>
  <c r="B13" i="8"/>
  <c r="D13" i="8" s="1"/>
  <c r="E42" i="8"/>
  <c r="E66" i="8"/>
  <c r="E30" i="8"/>
  <c r="B56" i="8"/>
  <c r="D56" i="8" s="1"/>
  <c r="B25" i="8"/>
  <c r="D25" i="8" s="1"/>
  <c r="B43" i="8"/>
  <c r="D43" i="8" s="1"/>
  <c r="E18" i="8"/>
  <c r="E54" i="8"/>
  <c r="B44" i="8"/>
  <c r="D44" i="8" s="1"/>
  <c r="B14" i="8"/>
  <c r="D14" i="8" s="1"/>
  <c r="B51" i="8"/>
  <c r="D51" i="8" s="1"/>
  <c r="B39" i="8"/>
  <c r="D39" i="8" s="1"/>
  <c r="B8" i="8"/>
  <c r="D8" i="8" s="1"/>
  <c r="B27" i="8"/>
  <c r="D27" i="8" s="1"/>
  <c r="B45" i="8"/>
  <c r="D45" i="8" s="1"/>
  <c r="B15" i="8"/>
  <c r="D15" i="8" s="1"/>
  <c r="B33" i="8"/>
  <c r="D33" i="8" s="1"/>
  <c r="B52" i="8"/>
  <c r="D52" i="8" s="1"/>
  <c r="B58" i="8"/>
  <c r="D58" i="8" s="1"/>
  <c r="B21" i="8"/>
  <c r="D21" i="8" s="1"/>
  <c r="B40" i="8"/>
  <c r="D40" i="8" s="1"/>
  <c r="B65" i="8"/>
  <c r="D65" i="8" s="1"/>
  <c r="B38" i="8"/>
  <c r="D38" i="8" s="1"/>
  <c r="B16" i="8"/>
  <c r="D16" i="8" s="1"/>
  <c r="B34" i="8"/>
  <c r="D34" i="8" s="1"/>
  <c r="B53" i="8"/>
  <c r="D53" i="8" s="1"/>
  <c r="B59" i="8"/>
  <c r="D59" i="8" s="1"/>
  <c r="B22" i="8"/>
  <c r="D22" i="8" s="1"/>
  <c r="B41" i="8"/>
  <c r="D41" i="8" s="1"/>
  <c r="B66" i="8"/>
  <c r="D66" i="8" s="1"/>
  <c r="B46" i="8"/>
  <c r="D46" i="8" s="1"/>
  <c r="B17" i="8"/>
  <c r="D17" i="8" s="1"/>
  <c r="B35" i="8"/>
  <c r="D35" i="8" s="1"/>
  <c r="B54" i="8"/>
  <c r="D54" i="8" s="1"/>
  <c r="B60" i="8"/>
  <c r="D60" i="8" s="1"/>
  <c r="B9" i="8"/>
  <c r="D9" i="8" s="1"/>
  <c r="B10" i="8"/>
  <c r="D10" i="8" s="1"/>
  <c r="B47" i="8"/>
  <c r="D47" i="8" s="1"/>
  <c r="B23" i="8"/>
  <c r="D23" i="8" s="1"/>
  <c r="B42" i="8"/>
  <c r="D42" i="8" s="1"/>
  <c r="B63" i="8"/>
  <c r="D63" i="8" s="1"/>
  <c r="B7" i="8"/>
  <c r="B26" i="8"/>
  <c r="D26" i="8" s="1"/>
  <c r="B32" i="8"/>
  <c r="D32" i="8" s="1"/>
  <c r="B28" i="8"/>
  <c r="D28" i="8" s="1"/>
  <c r="B29" i="8"/>
  <c r="D29" i="8" s="1"/>
  <c r="B11" i="8"/>
  <c r="D11" i="8" s="1"/>
  <c r="B30" i="8"/>
  <c r="D30" i="8" s="1"/>
  <c r="B48" i="8"/>
  <c r="D48" i="8" s="1"/>
  <c r="B19" i="8"/>
  <c r="D19" i="8" s="1"/>
  <c r="B36" i="8"/>
  <c r="D36" i="8" s="1"/>
  <c r="C68" i="8"/>
  <c r="B24" i="8"/>
  <c r="D24" i="8" s="1"/>
  <c r="B12" i="8"/>
  <c r="D12" i="8" s="1"/>
  <c r="B49" i="8"/>
  <c r="D49" i="8" s="1"/>
  <c r="B55" i="8"/>
  <c r="D55" i="8" s="1"/>
  <c r="B57" i="8"/>
  <c r="D57" i="8" s="1"/>
  <c r="B20" i="8"/>
  <c r="D20" i="8" s="1"/>
  <c r="B64" i="8"/>
  <c r="D64" i="8" s="1"/>
  <c r="B18" i="8"/>
  <c r="D18" i="8" s="1"/>
  <c r="B61" i="8"/>
  <c r="D61" i="8" s="1"/>
  <c r="B37" i="8"/>
  <c r="D37" i="8" s="1"/>
  <c r="D62" i="7"/>
  <c r="B25" i="7"/>
  <c r="D25" i="7" s="1"/>
  <c r="B43" i="7"/>
  <c r="D43" i="7" s="1"/>
  <c r="E18" i="7"/>
  <c r="B27" i="2" s="1"/>
  <c r="E54" i="7"/>
  <c r="E27" i="2" s="1"/>
  <c r="E30" i="7"/>
  <c r="C27" i="2" s="1"/>
  <c r="E66" i="7"/>
  <c r="F27" i="2" s="1"/>
  <c r="B19" i="7"/>
  <c r="D19" i="7" s="1"/>
  <c r="B51" i="7"/>
  <c r="D51" i="7" s="1"/>
  <c r="B8" i="7"/>
  <c r="D8" i="7" s="1"/>
  <c r="B27" i="7"/>
  <c r="D27" i="7" s="1"/>
  <c r="B58" i="7"/>
  <c r="D58" i="7" s="1"/>
  <c r="B21" i="7"/>
  <c r="D21" i="7" s="1"/>
  <c r="B34" i="7"/>
  <c r="D34" i="7" s="1"/>
  <c r="B22" i="7"/>
  <c r="D22" i="7" s="1"/>
  <c r="B41" i="7"/>
  <c r="D41" i="7" s="1"/>
  <c r="B66" i="7"/>
  <c r="D66" i="7" s="1"/>
  <c r="B10" i="7"/>
  <c r="D10" i="7" s="1"/>
  <c r="B29" i="7"/>
  <c r="D29" i="7" s="1"/>
  <c r="B47" i="7"/>
  <c r="D47" i="7" s="1"/>
  <c r="B17" i="7"/>
  <c r="D17" i="7" s="1"/>
  <c r="B35" i="7"/>
  <c r="D35" i="7" s="1"/>
  <c r="B54" i="7"/>
  <c r="D54" i="7" s="1"/>
  <c r="B60" i="7"/>
  <c r="D60" i="7" s="1"/>
  <c r="B38" i="7"/>
  <c r="D38" i="7" s="1"/>
  <c r="B44" i="7"/>
  <c r="D44" i="7" s="1"/>
  <c r="B57" i="7"/>
  <c r="D57" i="7" s="1"/>
  <c r="B16" i="7"/>
  <c r="D16" i="7" s="1"/>
  <c r="B59" i="7"/>
  <c r="D59" i="7" s="1"/>
  <c r="B11" i="7"/>
  <c r="D11" i="7" s="1"/>
  <c r="B18" i="7"/>
  <c r="D18" i="7" s="1"/>
  <c r="B36" i="7"/>
  <c r="D36" i="7" s="1"/>
  <c r="B61" i="7"/>
  <c r="D61" i="7" s="1"/>
  <c r="C67" i="7"/>
  <c r="B32" i="7"/>
  <c r="D32" i="7" s="1"/>
  <c r="B20" i="7"/>
  <c r="D20" i="7" s="1"/>
  <c r="B39" i="7"/>
  <c r="D39" i="7" s="1"/>
  <c r="B15" i="7"/>
  <c r="D15" i="7" s="1"/>
  <c r="B33" i="7"/>
  <c r="D33" i="7" s="1"/>
  <c r="B9" i="7"/>
  <c r="D9" i="7" s="1"/>
  <c r="B28" i="7"/>
  <c r="D28" i="7" s="1"/>
  <c r="B46" i="7"/>
  <c r="D46" i="7" s="1"/>
  <c r="B24" i="7"/>
  <c r="D24" i="7" s="1"/>
  <c r="B7" i="7"/>
  <c r="B26" i="7"/>
  <c r="D26" i="7" s="1"/>
  <c r="B65" i="7"/>
  <c r="D65" i="7" s="1"/>
  <c r="B23" i="7"/>
  <c r="D23" i="7" s="1"/>
  <c r="B42" i="7"/>
  <c r="D42" i="7" s="1"/>
  <c r="B30" i="7"/>
  <c r="D30" i="7" s="1"/>
  <c r="B48" i="7"/>
  <c r="D48" i="7" s="1"/>
  <c r="B12" i="7"/>
  <c r="D12" i="7" s="1"/>
  <c r="B49" i="7"/>
  <c r="D49" i="7" s="1"/>
  <c r="B55" i="7"/>
  <c r="D55" i="7" s="1"/>
  <c r="B63" i="7"/>
  <c r="D63" i="7" s="1"/>
  <c r="B14" i="7"/>
  <c r="D14" i="7" s="1"/>
  <c r="B64" i="7"/>
  <c r="D64" i="7" s="1"/>
  <c r="B45" i="7"/>
  <c r="D45" i="7" s="1"/>
  <c r="B52" i="7"/>
  <c r="D52" i="7" s="1"/>
  <c r="B40" i="7"/>
  <c r="D40" i="7" s="1"/>
  <c r="B53" i="7"/>
  <c r="D53" i="7" s="1"/>
  <c r="B37" i="7"/>
  <c r="D37" i="7" s="1"/>
  <c r="H10" i="1"/>
  <c r="H11" i="1" s="1"/>
  <c r="H12" i="1" s="1"/>
  <c r="H13" i="1" s="1"/>
  <c r="BQ40" i="9" l="1"/>
  <c r="AU41" i="9"/>
  <c r="BD44" i="9" s="1"/>
  <c r="D6" i="2" s="1"/>
  <c r="C12" i="2"/>
  <c r="C5" i="5"/>
  <c r="BA72" i="9"/>
  <c r="BJ12" i="9"/>
  <c r="BQ72" i="9"/>
  <c r="BP70" i="9"/>
  <c r="BP72" i="9" s="1"/>
  <c r="BN70" i="9"/>
  <c r="BO70" i="9" s="1"/>
  <c r="BO72" i="9" s="1"/>
  <c r="BL70" i="9"/>
  <c r="BK70" i="9"/>
  <c r="BK72" i="9" s="1"/>
  <c r="F6" i="5" s="1"/>
  <c r="BJ72" i="9"/>
  <c r="BN72" i="9"/>
  <c r="BC72" i="9"/>
  <c r="BL72" i="9"/>
  <c r="AU65" i="9"/>
  <c r="AT72" i="9"/>
  <c r="AX65" i="9"/>
  <c r="AV65" i="9"/>
  <c r="AV72" i="9" s="1"/>
  <c r="AZ65" i="9"/>
  <c r="AZ72" i="9" s="1"/>
  <c r="BQ55" i="9"/>
  <c r="BL49" i="9"/>
  <c r="BL55" i="9" s="1"/>
  <c r="BK49" i="9"/>
  <c r="BK55" i="9" s="1"/>
  <c r="E6" i="5" s="1"/>
  <c r="BP49" i="9"/>
  <c r="BN49" i="9"/>
  <c r="BO49" i="9" s="1"/>
  <c r="BP53" i="9"/>
  <c r="BN53" i="9"/>
  <c r="BO53" i="9" s="1"/>
  <c r="BL53" i="9"/>
  <c r="BK53" i="9"/>
  <c r="BC55" i="9"/>
  <c r="BP55" i="9"/>
  <c r="BJ55" i="9"/>
  <c r="BN55" i="9"/>
  <c r="BO48" i="9"/>
  <c r="BO55" i="9" s="1"/>
  <c r="AU48" i="9"/>
  <c r="AU55" i="9" s="1"/>
  <c r="AU57" i="9" s="1"/>
  <c r="AX48" i="9"/>
  <c r="AT55" i="9"/>
  <c r="AZ48" i="9"/>
  <c r="AZ55" i="9" s="1"/>
  <c r="AV48" i="9"/>
  <c r="AV55" i="9" s="1"/>
  <c r="D33" i="5"/>
  <c r="BP40" i="9"/>
  <c r="BC40" i="9"/>
  <c r="BL40" i="9"/>
  <c r="BO33" i="9"/>
  <c r="BO40" i="9" s="1"/>
  <c r="BN40" i="9"/>
  <c r="D14" i="2"/>
  <c r="AT40" i="9"/>
  <c r="BJ41" i="9" s="1"/>
  <c r="AZ33" i="9"/>
  <c r="AZ40" i="9" s="1"/>
  <c r="AX33" i="9"/>
  <c r="AV33" i="9"/>
  <c r="AV40" i="9" s="1"/>
  <c r="AU33" i="9"/>
  <c r="AU40" i="9" s="1"/>
  <c r="BK40" i="9"/>
  <c r="D6" i="5" s="1"/>
  <c r="BA40" i="9"/>
  <c r="BE25" i="9"/>
  <c r="BQ11" i="9"/>
  <c r="BJ25" i="9"/>
  <c r="BJ26" i="9" s="1"/>
  <c r="BP18" i="9"/>
  <c r="BP25" i="9" s="1"/>
  <c r="BN18" i="9"/>
  <c r="BL18" i="9"/>
  <c r="BL25" i="9" s="1"/>
  <c r="BK18" i="9"/>
  <c r="BK25" i="9" s="1"/>
  <c r="C6" i="5" s="1"/>
  <c r="BD25" i="9"/>
  <c r="AV25" i="9"/>
  <c r="AZ25" i="9"/>
  <c r="AY18" i="9"/>
  <c r="AY25" i="9" s="1"/>
  <c r="AX25" i="9"/>
  <c r="BD11" i="9"/>
  <c r="B14" i="2" s="1"/>
  <c r="BS11" i="9"/>
  <c r="BL11" i="9"/>
  <c r="BK11" i="9"/>
  <c r="B6" i="5" s="1"/>
  <c r="BP11" i="9"/>
  <c r="AV11" i="9"/>
  <c r="AZ11" i="9"/>
  <c r="BC11" i="9"/>
  <c r="AY11" i="9"/>
  <c r="AX11" i="9"/>
  <c r="B5" i="5"/>
  <c r="B12" i="2"/>
  <c r="BE11" i="9"/>
  <c r="AI43" i="8"/>
  <c r="AI55" i="8"/>
  <c r="AI67" i="8"/>
  <c r="AI31" i="8"/>
  <c r="AI19" i="8"/>
  <c r="AC55" i="8"/>
  <c r="AC31" i="8"/>
  <c r="AC67" i="8"/>
  <c r="AC43" i="8"/>
  <c r="AC19" i="8"/>
  <c r="W31" i="8"/>
  <c r="W19" i="8"/>
  <c r="W55" i="8"/>
  <c r="W43" i="8"/>
  <c r="W67" i="8"/>
  <c r="K31" i="8"/>
  <c r="K32" i="8" s="1"/>
  <c r="K67" i="8"/>
  <c r="K55" i="8"/>
  <c r="Q67" i="8"/>
  <c r="Q55" i="8"/>
  <c r="Q31" i="8"/>
  <c r="Q43" i="8"/>
  <c r="Q19" i="8"/>
  <c r="J7" i="8"/>
  <c r="K19" i="8" s="1"/>
  <c r="K20" i="8"/>
  <c r="K43" i="8"/>
  <c r="K44" i="8" s="1"/>
  <c r="B33" i="5"/>
  <c r="E67" i="7"/>
  <c r="K102" i="1"/>
  <c r="AA14" i="1"/>
  <c r="AA15" i="1"/>
  <c r="AA31" i="1"/>
  <c r="W35" i="1" s="1"/>
  <c r="Y35" i="1" s="1"/>
  <c r="G31" i="1"/>
  <c r="G34" i="1" s="1"/>
  <c r="G125" i="1"/>
  <c r="G124" i="1"/>
  <c r="G122" i="1"/>
  <c r="K117" i="1"/>
  <c r="I116" i="1"/>
  <c r="N102" i="1"/>
  <c r="M101" i="1"/>
  <c r="H125" i="1"/>
  <c r="H124" i="1"/>
  <c r="H122" i="1"/>
  <c r="J60" i="1"/>
  <c r="K60" i="1"/>
  <c r="K61" i="1" s="1"/>
  <c r="K76" i="1"/>
  <c r="G80" i="1" s="1"/>
  <c r="I80" i="1" s="1"/>
  <c r="H82" i="1"/>
  <c r="H81" i="1"/>
  <c r="H79" i="1"/>
  <c r="G82" i="1"/>
  <c r="G81" i="1"/>
  <c r="G79" i="1"/>
  <c r="N61" i="1"/>
  <c r="M60" i="1"/>
  <c r="K74" i="1"/>
  <c r="I73" i="1"/>
  <c r="AC14" i="1"/>
  <c r="AC15" i="1" s="1"/>
  <c r="AC31" i="1"/>
  <c r="X34" i="1" s="1"/>
  <c r="O28" i="1"/>
  <c r="H15" i="1"/>
  <c r="Z31" i="1"/>
  <c r="W37" i="1" s="1"/>
  <c r="AA16" i="1"/>
  <c r="Z15" i="1"/>
  <c r="AA29" i="1"/>
  <c r="Y28" i="1"/>
  <c r="P31" i="1"/>
  <c r="P35" i="1" s="1"/>
  <c r="O31" i="1"/>
  <c r="G15" i="1"/>
  <c r="H35" i="1"/>
  <c r="E68" i="8"/>
  <c r="E43" i="8"/>
  <c r="E44" i="8" s="1"/>
  <c r="E55" i="8"/>
  <c r="E67" i="8"/>
  <c r="E31" i="8"/>
  <c r="E20" i="8"/>
  <c r="D7" i="8"/>
  <c r="F54" i="7"/>
  <c r="F42" i="7"/>
  <c r="G42" i="7" s="1"/>
  <c r="F66" i="7"/>
  <c r="F30" i="7"/>
  <c r="G30" i="7" s="1"/>
  <c r="G18" i="7"/>
  <c r="D7" i="7"/>
  <c r="C9" i="5" l="1"/>
  <c r="AU42" i="9"/>
  <c r="BE44" i="9" s="1"/>
  <c r="BD43" i="9"/>
  <c r="D5" i="2" s="1"/>
  <c r="BE12" i="9"/>
  <c r="B5" i="2" s="1"/>
  <c r="BL12" i="9"/>
  <c r="B13" i="5" s="1"/>
  <c r="BE26" i="9"/>
  <c r="C5" i="2" s="1"/>
  <c r="C9" i="2" s="1"/>
  <c r="C14" i="2"/>
  <c r="C16" i="2" s="1"/>
  <c r="BQ41" i="9"/>
  <c r="D14" i="5" s="1"/>
  <c r="F9" i="5"/>
  <c r="F16" i="2"/>
  <c r="E16" i="2"/>
  <c r="E9" i="5"/>
  <c r="BQ73" i="9"/>
  <c r="F14" i="5" s="1"/>
  <c r="BL73" i="9"/>
  <c r="F13" i="5" s="1"/>
  <c r="F9" i="2"/>
  <c r="F18" i="2" s="1"/>
  <c r="BJ73" i="9"/>
  <c r="AY65" i="9"/>
  <c r="AY72" i="9" s="1"/>
  <c r="BO73" i="9" s="1"/>
  <c r="F12" i="5" s="1"/>
  <c r="F22" i="5" s="1"/>
  <c r="AX72" i="9"/>
  <c r="BL56" i="9"/>
  <c r="E13" i="5" s="1"/>
  <c r="BQ56" i="9"/>
  <c r="E14" i="5" s="1"/>
  <c r="BJ56" i="9"/>
  <c r="AX55" i="9"/>
  <c r="AY48" i="9"/>
  <c r="AY55" i="9" s="1"/>
  <c r="E9" i="2"/>
  <c r="D5" i="5"/>
  <c r="D9" i="5" s="1"/>
  <c r="D12" i="2"/>
  <c r="D16" i="2" s="1"/>
  <c r="AX40" i="9"/>
  <c r="AY33" i="9"/>
  <c r="AY40" i="9" s="1"/>
  <c r="BL41" i="9"/>
  <c r="D13" i="5" s="1"/>
  <c r="AU26" i="9"/>
  <c r="BQ26" i="9"/>
  <c r="BL26" i="9"/>
  <c r="C13" i="5" s="1"/>
  <c r="BQ12" i="9"/>
  <c r="BN25" i="9"/>
  <c r="BO18" i="9"/>
  <c r="BO25" i="9" s="1"/>
  <c r="BO26" i="9" s="1"/>
  <c r="C12" i="5" s="1"/>
  <c r="BN11" i="9"/>
  <c r="BO11" i="9"/>
  <c r="BO12" i="9" s="1"/>
  <c r="B12" i="5" s="1"/>
  <c r="B9" i="5"/>
  <c r="E32" i="8"/>
  <c r="C42" i="6"/>
  <c r="I125" i="1"/>
  <c r="I122" i="1"/>
  <c r="G37" i="1"/>
  <c r="I124" i="1"/>
  <c r="G36" i="1"/>
  <c r="AD16" i="1"/>
  <c r="I81" i="1"/>
  <c r="I79" i="1"/>
  <c r="I82" i="1"/>
  <c r="W36" i="1"/>
  <c r="W34" i="1"/>
  <c r="Y34" i="1" s="1"/>
  <c r="D9" i="2"/>
  <c r="X37" i="1"/>
  <c r="Y37" i="1" s="1"/>
  <c r="X36" i="1"/>
  <c r="O34" i="1"/>
  <c r="O37" i="1"/>
  <c r="O36" i="1"/>
  <c r="B16" i="2"/>
  <c r="H16" i="1"/>
  <c r="B9" i="2" s="1"/>
  <c r="D68" i="8"/>
  <c r="E19" i="8"/>
  <c r="E69" i="8"/>
  <c r="D67" i="7"/>
  <c r="F18" i="7"/>
  <c r="F67" i="7"/>
  <c r="B14" i="5" l="1"/>
  <c r="C14" i="5"/>
  <c r="C18" i="2"/>
  <c r="F24" i="5"/>
  <c r="E18" i="2"/>
  <c r="E19" i="2" s="1"/>
  <c r="BO56" i="9"/>
  <c r="E12" i="5" s="1"/>
  <c r="E22" i="5" s="1"/>
  <c r="E24" i="5" s="1"/>
  <c r="BO41" i="9"/>
  <c r="D12" i="5" s="1"/>
  <c r="D22" i="5" s="1"/>
  <c r="D18" i="2"/>
  <c r="D25" i="2" s="1"/>
  <c r="B22" i="5"/>
  <c r="F42" i="6"/>
  <c r="E42" i="6"/>
  <c r="D42" i="6"/>
  <c r="B42" i="6"/>
  <c r="F25" i="2"/>
  <c r="F19" i="2"/>
  <c r="Y36" i="1"/>
  <c r="C22" i="5"/>
  <c r="B18" i="2"/>
  <c r="C19" i="2" l="1"/>
  <c r="C25" i="2"/>
  <c r="F25" i="5"/>
  <c r="F31" i="5"/>
  <c r="E25" i="2"/>
  <c r="E26" i="2" s="1"/>
  <c r="D19" i="2"/>
  <c r="C24" i="5"/>
  <c r="C31" i="5" s="1"/>
  <c r="D24" i="5"/>
  <c r="D31" i="5" s="1"/>
  <c r="D35" i="5" s="1"/>
  <c r="B24" i="5"/>
  <c r="B25" i="5" s="1"/>
  <c r="F29" i="2"/>
  <c r="F30" i="2" s="1"/>
  <c r="F26" i="2"/>
  <c r="E31" i="5"/>
  <c r="E25" i="5"/>
  <c r="D29" i="2"/>
  <c r="D30" i="2" s="1"/>
  <c r="D26" i="2"/>
  <c r="B19" i="2"/>
  <c r="B25" i="2"/>
  <c r="B29" i="2" s="1"/>
  <c r="E29" i="2" l="1"/>
  <c r="E30" i="2" s="1"/>
  <c r="E31" i="2" s="1"/>
  <c r="C29" i="2"/>
  <c r="C30" i="2" s="1"/>
  <c r="C26" i="2"/>
  <c r="F35" i="5"/>
  <c r="F36" i="5"/>
  <c r="F32" i="5"/>
  <c r="C25" i="5"/>
  <c r="F31" i="2"/>
  <c r="F7" i="3"/>
  <c r="D31" i="2"/>
  <c r="D7" i="3"/>
  <c r="B31" i="5"/>
  <c r="B35" i="5" s="1"/>
  <c r="B36" i="5" s="1"/>
  <c r="B37" i="5" s="1"/>
  <c r="D25" i="5"/>
  <c r="D36" i="5"/>
  <c r="D32" i="5"/>
  <c r="E35" i="5"/>
  <c r="E36" i="5" s="1"/>
  <c r="E32" i="5"/>
  <c r="C35" i="5"/>
  <c r="C36" i="5" s="1"/>
  <c r="C32" i="5"/>
  <c r="B26" i="2"/>
  <c r="B30" i="2"/>
  <c r="E7" i="3" l="1"/>
  <c r="F7" i="6"/>
  <c r="F37" i="5"/>
  <c r="C31" i="2"/>
  <c r="C7" i="3"/>
  <c r="B7" i="6"/>
  <c r="B26" i="6" s="1"/>
  <c r="B44" i="6" s="1"/>
  <c r="C3" i="6" s="1"/>
  <c r="B32" i="5"/>
  <c r="D37" i="5"/>
  <c r="D7" i="6"/>
  <c r="C37" i="5"/>
  <c r="C7" i="6"/>
  <c r="E37" i="5"/>
  <c r="E7" i="6"/>
  <c r="B31" i="2"/>
  <c r="B7" i="3"/>
  <c r="B26" i="3" s="1"/>
  <c r="B44" i="3" s="1"/>
  <c r="C3" i="3" s="1"/>
  <c r="C26" i="3" s="1"/>
  <c r="C44" i="3" s="1"/>
  <c r="D3" i="3" s="1"/>
  <c r="D26" i="3" s="1"/>
  <c r="D44" i="3" s="1"/>
  <c r="E3" i="3" s="1"/>
  <c r="E26" i="3" l="1"/>
  <c r="E44" i="3" s="1"/>
  <c r="F3" i="3" s="1"/>
  <c r="F26" i="3" s="1"/>
  <c r="F44" i="3" s="1"/>
  <c r="C26" i="6"/>
  <c r="C44" i="6" s="1"/>
  <c r="D3" i="6" s="1"/>
  <c r="D26" i="6" s="1"/>
  <c r="D44" i="6" s="1"/>
  <c r="E3" i="6" s="1"/>
  <c r="E26" i="6" s="1"/>
  <c r="E44" i="6" s="1"/>
  <c r="F3" i="6" s="1"/>
  <c r="F26" i="6" s="1"/>
  <c r="F44" i="6" s="1"/>
</calcChain>
</file>

<file path=xl/sharedStrings.xml><?xml version="1.0" encoding="utf-8"?>
<sst xmlns="http://schemas.openxmlformats.org/spreadsheetml/2006/main" count="1014" uniqueCount="175">
  <si>
    <t>ruta</t>
  </si>
  <si>
    <t>vuelo</t>
  </si>
  <si>
    <t>avion 1</t>
  </si>
  <si>
    <t>avion 2</t>
  </si>
  <si>
    <t>horas</t>
  </si>
  <si>
    <t>kg</t>
  </si>
  <si>
    <t>total</t>
  </si>
  <si>
    <t>mde-kin</t>
  </si>
  <si>
    <t>mia kin</t>
  </si>
  <si>
    <t>mde- mia</t>
  </si>
  <si>
    <t>mia mde</t>
  </si>
  <si>
    <t>kin-mde</t>
  </si>
  <si>
    <t>kin-mia</t>
  </si>
  <si>
    <t>dia</t>
  </si>
  <si>
    <t>semana</t>
  </si>
  <si>
    <t>mes</t>
  </si>
  <si>
    <t>ano</t>
  </si>
  <si>
    <t xml:space="preserve">FRESH 24 </t>
  </si>
  <si>
    <t>Statements of Operations (Unaudited)</t>
  </si>
  <si>
    <t>YEAR 1</t>
  </si>
  <si>
    <t>YEAR 2</t>
  </si>
  <si>
    <t>YEAR 3</t>
  </si>
  <si>
    <t>YEAR 4</t>
  </si>
  <si>
    <t>YEAR 5</t>
  </si>
  <si>
    <t>Revenues:</t>
  </si>
  <si>
    <t>OtherServices</t>
  </si>
  <si>
    <t>Total revenue</t>
  </si>
  <si>
    <t>Operating expenses:</t>
  </si>
  <si>
    <t>Air logistic</t>
  </si>
  <si>
    <t>Sales &amp; marketing</t>
  </si>
  <si>
    <t>Other expenses*</t>
  </si>
  <si>
    <t>Total operating expenses</t>
  </si>
  <si>
    <t>Operating income/(loss)</t>
  </si>
  <si>
    <t xml:space="preserve">Operating margin </t>
  </si>
  <si>
    <t>Non-operating expense (income):</t>
  </si>
  <si>
    <t>Admin payroll</t>
  </si>
  <si>
    <t>Admin expenses</t>
  </si>
  <si>
    <t>Total non-operating expenses</t>
  </si>
  <si>
    <t>EBITDA</t>
  </si>
  <si>
    <t>EBITDA margin</t>
  </si>
  <si>
    <t>Loan interest</t>
  </si>
  <si>
    <t xml:space="preserve">Depreciation </t>
  </si>
  <si>
    <t>Tax provision (25%)</t>
  </si>
  <si>
    <t>Net income/(loss)</t>
  </si>
  <si>
    <t>Net income margin</t>
  </si>
  <si>
    <t>FRESH24 cash flow operations</t>
  </si>
  <si>
    <t>Beginning cash balance</t>
  </si>
  <si>
    <t>Cash flow from operating activities</t>
  </si>
  <si>
    <t>Net Income (from Income Statement)</t>
  </si>
  <si>
    <t>Adjustments for Non-Cash Items</t>
  </si>
  <si>
    <t>Depreciation &amp; Amortization</t>
  </si>
  <si>
    <t>Provisions (if applicable)</t>
  </si>
  <si>
    <t>Losses / (-) Gains on Asset Disposal</t>
  </si>
  <si>
    <t>Adjustments for Working Capital Changes</t>
  </si>
  <si>
    <t>Increase in Accounts Receivable</t>
  </si>
  <si>
    <t>Decrease in Accounts Receivable</t>
  </si>
  <si>
    <t>Increase in Inventory (if applicable)</t>
  </si>
  <si>
    <t>Decrease in Inventory (if applicable)</t>
  </si>
  <si>
    <t>Increase in Accounts Payable</t>
  </si>
  <si>
    <t>Decrease in Accounts Payable</t>
  </si>
  <si>
    <t>Changes in Other Current Assets</t>
  </si>
  <si>
    <t>Changes in Other Current Liabilities</t>
  </si>
  <si>
    <t>Net Cash from Operating Activities</t>
  </si>
  <si>
    <t>Cash flow from investing activities</t>
  </si>
  <si>
    <t>Capital Expenditures (CapEx)</t>
  </si>
  <si>
    <t>Net Cash Flow from Investing Activities</t>
  </si>
  <si>
    <t>Cash flow from Financing Activities</t>
  </si>
  <si>
    <t>Debt Issuance</t>
  </si>
  <si>
    <t>Debt Repayments (Principal)</t>
  </si>
  <si>
    <t>Interest Payments</t>
  </si>
  <si>
    <t>Equity Contributions</t>
  </si>
  <si>
    <t>Dividends Paid (-)</t>
  </si>
  <si>
    <t>Net Cash Flow from Financing Activities</t>
  </si>
  <si>
    <t>Net Cash Flow</t>
  </si>
  <si>
    <t>costo hora vuelo charter indirecto</t>
  </si>
  <si>
    <t>costo kg avg productos</t>
  </si>
  <si>
    <t>utilidad avg producto</t>
  </si>
  <si>
    <t>costo x kg venta</t>
  </si>
  <si>
    <t>utilidad</t>
  </si>
  <si>
    <t>loan amount</t>
  </si>
  <si>
    <t>Loan term</t>
  </si>
  <si>
    <t>Annual rate</t>
  </si>
  <si>
    <t>Monthly payment</t>
  </si>
  <si>
    <t>payment</t>
  </si>
  <si>
    <t>interest</t>
  </si>
  <si>
    <t>remaining</t>
  </si>
  <si>
    <t xml:space="preserve">total </t>
  </si>
  <si>
    <t>total costoS</t>
  </si>
  <si>
    <t>Tax provision</t>
  </si>
  <si>
    <t>Indirect Charter Majestic</t>
  </si>
  <si>
    <t>Indirect charter GSA</t>
  </si>
  <si>
    <t>Fuel</t>
  </si>
  <si>
    <t>Maintenance</t>
  </si>
  <si>
    <t xml:space="preserve">Aeronautical </t>
  </si>
  <si>
    <t>Lease / Rent</t>
  </si>
  <si>
    <t>Training</t>
  </si>
  <si>
    <t>Insurance</t>
  </si>
  <si>
    <t>Other</t>
  </si>
  <si>
    <t>cargo hand</t>
  </si>
  <si>
    <t>sobrevuelo</t>
  </si>
  <si>
    <t>fuel burn</t>
  </si>
  <si>
    <t>fuel cost</t>
  </si>
  <si>
    <t>mantenimiento</t>
  </si>
  <si>
    <t>millas x hora</t>
  </si>
  <si>
    <t>mant x hora</t>
  </si>
  <si>
    <t>Direct Charter</t>
  </si>
  <si>
    <t xml:space="preserve">Staff / Crew </t>
  </si>
  <si>
    <t>products</t>
  </si>
  <si>
    <t>avion 3</t>
  </si>
  <si>
    <t>avion 4</t>
  </si>
  <si>
    <t>gso eur</t>
  </si>
  <si>
    <t>eur gso</t>
  </si>
  <si>
    <t>b777</t>
  </si>
  <si>
    <t>A321</t>
  </si>
  <si>
    <t>B777</t>
  </si>
  <si>
    <t>a321</t>
  </si>
  <si>
    <t>total 321</t>
  </si>
  <si>
    <t>total b777</t>
  </si>
  <si>
    <t>Direct Product Sales Americas</t>
  </si>
  <si>
    <t>Direct Product Sales Eurasia</t>
  </si>
  <si>
    <t>costo hora vuelo charter indirecto gsa</t>
  </si>
  <si>
    <t xml:space="preserve">costo hora vuelo charter indirecto </t>
  </si>
  <si>
    <t>MAJESTIC AIR CARGO</t>
  </si>
  <si>
    <t>MAJESTIC AIR CARGO cash flow operations</t>
  </si>
  <si>
    <t>l1</t>
  </si>
  <si>
    <t>l2</t>
  </si>
  <si>
    <t>l3</t>
  </si>
  <si>
    <t>l4</t>
  </si>
  <si>
    <t>l5</t>
  </si>
  <si>
    <t>l6</t>
  </si>
  <si>
    <t>F/H</t>
  </si>
  <si>
    <t>Cargo</t>
  </si>
  <si>
    <t>FRESH</t>
  </si>
  <si>
    <t>GSA</t>
  </si>
  <si>
    <t>GLS</t>
  </si>
  <si>
    <t>mtt x</t>
  </si>
  <si>
    <t>HORA</t>
  </si>
  <si>
    <t>Fuel b.</t>
  </si>
  <si>
    <t>TOTAL</t>
  </si>
  <si>
    <t>total dia</t>
  </si>
  <si>
    <t>air log $</t>
  </si>
  <si>
    <t>Cargo (Kg)</t>
  </si>
  <si>
    <t>Cargo buy</t>
  </si>
  <si>
    <t>profit</t>
  </si>
  <si>
    <t>FUEL GLS</t>
  </si>
  <si>
    <t>FUEL $</t>
  </si>
  <si>
    <t>$</t>
  </si>
  <si>
    <t>HAND.</t>
  </si>
  <si>
    <t>OVER/F</t>
  </si>
  <si>
    <t>IND CHR. F24</t>
  </si>
  <si>
    <t>IND CHR. GSA</t>
  </si>
  <si>
    <t>LDG FEES</t>
  </si>
  <si>
    <t>T/A FEES</t>
  </si>
  <si>
    <t>LDG</t>
  </si>
  <si>
    <t>MTOW</t>
  </si>
  <si>
    <t>M/HORA</t>
  </si>
  <si>
    <t>x/W</t>
  </si>
  <si>
    <t>O/FLIGHT</t>
  </si>
  <si>
    <t>Handling</t>
  </si>
  <si>
    <t>Maint.</t>
  </si>
  <si>
    <t>T/A</t>
  </si>
  <si>
    <t>total fuel</t>
  </si>
  <si>
    <t>total maint</t>
  </si>
  <si>
    <t>TOT. AERO.</t>
  </si>
  <si>
    <t>Year 1</t>
  </si>
  <si>
    <t>Year 2</t>
  </si>
  <si>
    <t>Year 3</t>
  </si>
  <si>
    <t>Year 4</t>
  </si>
  <si>
    <t>Year 5</t>
  </si>
  <si>
    <t>Americas</t>
  </si>
  <si>
    <t>Europe / Asia</t>
  </si>
  <si>
    <t>Global</t>
  </si>
  <si>
    <t>Continental</t>
  </si>
  <si>
    <t>F/H (Year)</t>
  </si>
  <si>
    <t>F/H(Year)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</si>
</sst>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_([$$-409]* #,##0.00_);_([$$-409]* \(#,##0.00\);_([$$-409]* &quot;-&quot;??_);_(@_)"/>
    <numFmt numFmtId="167" formatCode="_(* #,##0.0_);_(* \(#,##0.0\);_(* &quot;-&quot;?_);_(@_)"/>
  </numFmts>
  <fonts count="3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rial"/>
      <family val="2"/>
    </font>
    <font>
      <sz val="12"/>
      <name val="Aptos Narrow"/>
      <family val="2"/>
      <scheme val="minor"/>
    </font>
    <font>
      <sz val="10"/>
      <name val="Aptos Narrow"/>
      <family val="2"/>
      <scheme val="minor"/>
    </font>
    <font>
      <sz val="11"/>
      <name val="Aptos Narrow"/>
      <family val="2"/>
      <scheme val="minor"/>
    </font>
    <font>
      <b/>
      <i/>
      <sz val="12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4"/>
      <color rgb="FF000000"/>
      <name val="Aptos Narrow"/>
      <family val="2"/>
      <scheme val="minor"/>
    </font>
    <font>
      <b/>
      <i/>
      <sz val="12"/>
      <color theme="3" tint="0.249977111117893"/>
      <name val="Aptos Narrow"/>
      <family val="2"/>
      <scheme val="minor"/>
    </font>
    <font>
      <b/>
      <i/>
      <sz val="11"/>
      <color theme="3" tint="0.249977111117893"/>
      <name val="Aptos Narrow"/>
      <family val="2"/>
      <scheme val="minor"/>
    </font>
    <font>
      <i/>
      <sz val="10"/>
      <color theme="0" tint="-0.34998626667073579"/>
      <name val="Aptos Narrow"/>
      <family val="2"/>
      <scheme val="minor"/>
    </font>
    <font>
      <i/>
      <sz val="8"/>
      <color theme="0" tint="-0.34998626667073579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i/>
      <sz val="11"/>
      <name val="Aptos Narrow"/>
      <family val="2"/>
      <scheme val="minor"/>
    </font>
    <font>
      <b/>
      <sz val="12"/>
      <name val="Aptos Narrow"/>
      <family val="2"/>
      <scheme val="minor"/>
    </font>
    <font>
      <i/>
      <sz val="10"/>
      <color theme="0" tint="-0.499984740745262"/>
      <name val="Aptos Narrow"/>
      <family val="2"/>
      <scheme val="minor"/>
    </font>
    <font>
      <b/>
      <sz val="11"/>
      <color theme="3" tint="9.9978637043366805E-2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i/>
      <sz val="11"/>
      <color theme="0" tint="-0.499984740745262"/>
      <name val="Aptos Narrow"/>
      <family val="2"/>
      <scheme val="minor"/>
    </font>
    <font>
      <b/>
      <i/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8" tint="-0.249977111117893"/>
      <name val="Aptos Narrow"/>
      <family val="2"/>
      <scheme val="minor"/>
    </font>
    <font>
      <b/>
      <sz val="11"/>
      <color theme="8" tint="-0.249977111117893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i/>
      <sz val="11"/>
      <color theme="8" tint="-0.249977111117893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b/>
      <i/>
      <sz val="11"/>
      <color theme="8" tint="-0.249977111117893"/>
      <name val="Aptos Narrow"/>
      <family val="2"/>
      <scheme val="minor"/>
    </font>
    <font>
      <b/>
      <i/>
      <sz val="11"/>
      <color theme="9" tint="-0.249977111117893"/>
      <name val="Aptos Narrow"/>
      <family val="2"/>
      <scheme val="minor"/>
    </font>
    <font>
      <i/>
      <sz val="11"/>
      <color theme="9" tint="-0.249977111117893"/>
      <name val="Aptos Narrow"/>
      <family val="2"/>
      <scheme val="minor"/>
    </font>
    <font>
      <b/>
      <sz val="11"/>
      <name val="Aptos Narrow"/>
      <family val="2"/>
      <scheme val="minor"/>
    </font>
    <font>
      <b/>
      <i/>
      <sz val="11"/>
      <color theme="8" tint="0.3999755851924192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D00067"/>
      </bottom>
      <diagonal/>
    </border>
    <border>
      <left/>
      <right/>
      <top/>
      <bottom style="medium">
        <color theme="3" tint="0.249977111117893"/>
      </bottom>
      <diagonal/>
    </border>
    <border>
      <left style="thin">
        <color rgb="FFD00067"/>
      </left>
      <right/>
      <top/>
      <bottom/>
      <diagonal/>
    </border>
    <border>
      <left/>
      <right/>
      <top/>
      <bottom style="thin">
        <color theme="0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135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/>
    <xf numFmtId="164" fontId="0" fillId="0" borderId="0" xfId="1" applyNumberFormat="1" applyFont="1"/>
    <xf numFmtId="165" fontId="0" fillId="0" borderId="0" xfId="1" applyNumberFormat="1" applyFont="1"/>
    <xf numFmtId="165" fontId="0" fillId="0" borderId="0" xfId="0" applyNumberFormat="1"/>
    <xf numFmtId="0" fontId="3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0" xfId="4" applyFont="1"/>
    <xf numFmtId="44" fontId="0" fillId="0" borderId="0" xfId="2" applyFont="1"/>
    <xf numFmtId="0" fontId="7" fillId="0" borderId="2" xfId="4" applyFont="1" applyBorder="1" applyAlignment="1">
      <alignment horizontal="left" indent="1"/>
    </xf>
    <xf numFmtId="44" fontId="8" fillId="0" borderId="2" xfId="4" applyNumberFormat="1" applyFont="1" applyBorder="1" applyAlignment="1">
      <alignment horizontal="left" indent="1"/>
    </xf>
    <xf numFmtId="0" fontId="9" fillId="0" borderId="0" xfId="4" applyFont="1" applyAlignment="1">
      <alignment horizontal="left" indent="2"/>
    </xf>
    <xf numFmtId="44" fontId="10" fillId="0" borderId="0" xfId="2" applyFont="1"/>
    <xf numFmtId="0" fontId="11" fillId="0" borderId="0" xfId="5" applyFont="1"/>
    <xf numFmtId="0" fontId="6" fillId="0" borderId="0" xfId="4" applyFont="1" applyAlignment="1">
      <alignment horizontal="left" indent="1"/>
    </xf>
    <xf numFmtId="44" fontId="0" fillId="0" borderId="0" xfId="0" applyNumberFormat="1"/>
    <xf numFmtId="0" fontId="6" fillId="0" borderId="1" xfId="4" applyFont="1" applyBorder="1" applyAlignment="1">
      <alignment horizontal="left" indent="1"/>
    </xf>
    <xf numFmtId="44" fontId="8" fillId="0" borderId="1" xfId="2" applyFont="1" applyBorder="1" applyAlignment="1">
      <alignment horizontal="left" indent="1"/>
    </xf>
    <xf numFmtId="44" fontId="10" fillId="0" borderId="0" xfId="0" applyNumberFormat="1" applyFont="1"/>
    <xf numFmtId="0" fontId="12" fillId="0" borderId="0" xfId="4" applyFont="1" applyAlignment="1">
      <alignment horizontal="left" indent="2"/>
    </xf>
    <xf numFmtId="44" fontId="13" fillId="0" borderId="0" xfId="0" applyNumberFormat="1" applyFont="1"/>
    <xf numFmtId="0" fontId="14" fillId="0" borderId="0" xfId="4" applyFont="1" applyAlignment="1">
      <alignment horizontal="left" indent="3"/>
    </xf>
    <xf numFmtId="9" fontId="15" fillId="0" borderId="0" xfId="3" applyFont="1" applyAlignment="1">
      <alignment horizontal="center"/>
    </xf>
    <xf numFmtId="0" fontId="16" fillId="0" borderId="1" xfId="5" applyFont="1" applyBorder="1"/>
    <xf numFmtId="44" fontId="16" fillId="0" borderId="1" xfId="2" applyFont="1" applyBorder="1"/>
    <xf numFmtId="0" fontId="6" fillId="0" borderId="2" xfId="4" applyFont="1" applyBorder="1" applyAlignment="1">
      <alignment horizontal="left" indent="1"/>
    </xf>
    <xf numFmtId="0" fontId="9" fillId="0" borderId="3" xfId="4" applyFont="1" applyBorder="1" applyAlignment="1">
      <alignment horizontal="left" indent="2"/>
    </xf>
    <xf numFmtId="44" fontId="17" fillId="0" borderId="0" xfId="0" applyNumberFormat="1" applyFont="1"/>
    <xf numFmtId="166" fontId="8" fillId="0" borderId="0" xfId="2" applyNumberFormat="1" applyFont="1" applyBorder="1" applyAlignment="1"/>
    <xf numFmtId="0" fontId="8" fillId="0" borderId="3" xfId="4" applyFont="1" applyBorder="1"/>
    <xf numFmtId="166" fontId="0" fillId="0" borderId="0" xfId="2" applyNumberFormat="1" applyFont="1" applyAlignment="1"/>
    <xf numFmtId="166" fontId="16" fillId="0" borderId="1" xfId="2" applyNumberFormat="1" applyFont="1" applyBorder="1" applyAlignment="1"/>
    <xf numFmtId="0" fontId="18" fillId="0" borderId="0" xfId="4" applyFont="1" applyAlignment="1">
      <alignment horizontal="left" indent="2"/>
    </xf>
    <xf numFmtId="44" fontId="18" fillId="0" borderId="0" xfId="2" applyFont="1" applyAlignment="1">
      <alignment horizontal="left" indent="2"/>
    </xf>
    <xf numFmtId="0" fontId="19" fillId="0" borderId="0" xfId="4" applyFont="1" applyAlignment="1">
      <alignment horizontal="left" indent="3"/>
    </xf>
    <xf numFmtId="9" fontId="19" fillId="0" borderId="0" xfId="3" applyFont="1" applyAlignment="1">
      <alignment horizontal="left" indent="3"/>
    </xf>
    <xf numFmtId="9" fontId="0" fillId="0" borderId="0" xfId="3" applyFont="1"/>
    <xf numFmtId="8" fontId="0" fillId="0" borderId="0" xfId="0" applyNumberFormat="1"/>
    <xf numFmtId="0" fontId="0" fillId="2" borderId="0" xfId="0" applyFill="1"/>
    <xf numFmtId="0" fontId="0" fillId="2" borderId="0" xfId="0" applyFill="1" applyAlignment="1">
      <alignment horizontal="center"/>
    </xf>
    <xf numFmtId="0" fontId="0" fillId="7" borderId="0" xfId="0" applyFill="1"/>
    <xf numFmtId="165" fontId="0" fillId="7" borderId="0" xfId="0" applyNumberFormat="1" applyFill="1"/>
    <xf numFmtId="0" fontId="0" fillId="8" borderId="0" xfId="0" applyFill="1"/>
    <xf numFmtId="165" fontId="0" fillId="8" borderId="0" xfId="1" applyNumberFormat="1" applyFont="1" applyFill="1"/>
    <xf numFmtId="0" fontId="0" fillId="5" borderId="0" xfId="0" applyFill="1"/>
    <xf numFmtId="0" fontId="0" fillId="5" borderId="0" xfId="0" applyFill="1" applyAlignment="1">
      <alignment horizontal="center"/>
    </xf>
    <xf numFmtId="165" fontId="0" fillId="5" borderId="0" xfId="1" applyNumberFormat="1" applyFont="1" applyFill="1"/>
    <xf numFmtId="43" fontId="0" fillId="0" borderId="0" xfId="0" applyNumberFormat="1"/>
    <xf numFmtId="164" fontId="0" fillId="8" borderId="0" xfId="0" applyNumberFormat="1" applyFill="1"/>
    <xf numFmtId="44" fontId="0" fillId="0" borderId="0" xfId="2" applyFont="1" applyBorder="1"/>
    <xf numFmtId="44" fontId="10" fillId="0" borderId="0" xfId="2" applyFont="1" applyBorder="1"/>
    <xf numFmtId="9" fontId="15" fillId="0" borderId="0" xfId="3" applyFont="1" applyBorder="1" applyAlignment="1">
      <alignment horizontal="center"/>
    </xf>
    <xf numFmtId="166" fontId="0" fillId="0" borderId="0" xfId="2" applyNumberFormat="1" applyFont="1" applyBorder="1" applyAlignment="1"/>
    <xf numFmtId="44" fontId="18" fillId="0" borderId="0" xfId="2" applyFont="1" applyBorder="1" applyAlignment="1">
      <alignment horizontal="left" indent="2"/>
    </xf>
    <xf numFmtId="0" fontId="19" fillId="0" borderId="4" xfId="4" applyFont="1" applyBorder="1" applyAlignment="1">
      <alignment horizontal="left" indent="3"/>
    </xf>
    <xf numFmtId="9" fontId="19" fillId="0" borderId="4" xfId="3" applyFont="1" applyBorder="1" applyAlignment="1">
      <alignment horizontal="left" indent="3"/>
    </xf>
    <xf numFmtId="167" fontId="0" fillId="0" borderId="0" xfId="0" applyNumberFormat="1"/>
    <xf numFmtId="0" fontId="25" fillId="0" borderId="0" xfId="0" applyFont="1"/>
    <xf numFmtId="0" fontId="26" fillId="0" borderId="0" xfId="0" applyFont="1" applyAlignment="1">
      <alignment horizontal="center"/>
    </xf>
    <xf numFmtId="0" fontId="26" fillId="0" borderId="0" xfId="0" applyFont="1"/>
    <xf numFmtId="0" fontId="27" fillId="0" borderId="0" xfId="0" applyFont="1"/>
    <xf numFmtId="0" fontId="28" fillId="0" borderId="0" xfId="0" applyFont="1"/>
    <xf numFmtId="0" fontId="28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43" fontId="25" fillId="0" borderId="0" xfId="0" applyNumberFormat="1" applyFont="1"/>
    <xf numFmtId="44" fontId="25" fillId="0" borderId="0" xfId="2" applyFont="1"/>
    <xf numFmtId="0" fontId="27" fillId="0" borderId="0" xfId="0" applyFont="1" applyAlignment="1">
      <alignment horizontal="center"/>
    </xf>
    <xf numFmtId="43" fontId="27" fillId="0" borderId="0" xfId="0" applyNumberFormat="1" applyFont="1"/>
    <xf numFmtId="44" fontId="27" fillId="0" borderId="0" xfId="2" applyFont="1"/>
    <xf numFmtId="0" fontId="29" fillId="0" borderId="0" xfId="0" applyFont="1" applyAlignment="1">
      <alignment horizontal="center"/>
    </xf>
    <xf numFmtId="43" fontId="29" fillId="0" borderId="0" xfId="0" applyNumberFormat="1" applyFont="1"/>
    <xf numFmtId="0" fontId="30" fillId="0" borderId="0" xfId="0" applyFont="1"/>
    <xf numFmtId="165" fontId="30" fillId="0" borderId="0" xfId="1" applyNumberFormat="1" applyFont="1"/>
    <xf numFmtId="44" fontId="30" fillId="0" borderId="0" xfId="2" applyFont="1"/>
    <xf numFmtId="164" fontId="25" fillId="0" borderId="0" xfId="1" applyNumberFormat="1" applyFont="1"/>
    <xf numFmtId="164" fontId="25" fillId="0" borderId="0" xfId="0" applyNumberFormat="1" applyFont="1"/>
    <xf numFmtId="43" fontId="25" fillId="0" borderId="0" xfId="1" applyFont="1"/>
    <xf numFmtId="0" fontId="25" fillId="0" borderId="0" xfId="1" applyNumberFormat="1" applyFont="1" applyAlignment="1">
      <alignment horizontal="center"/>
    </xf>
    <xf numFmtId="0" fontId="31" fillId="0" borderId="0" xfId="0" applyFont="1" applyAlignment="1">
      <alignment horizontal="center"/>
    </xf>
    <xf numFmtId="0" fontId="31" fillId="0" borderId="0" xfId="0" applyFont="1"/>
    <xf numFmtId="43" fontId="26" fillId="0" borderId="0" xfId="0" applyNumberFormat="1" applyFont="1"/>
    <xf numFmtId="44" fontId="26" fillId="9" borderId="0" xfId="2" applyFont="1" applyFill="1"/>
    <xf numFmtId="43" fontId="26" fillId="9" borderId="0" xfId="1" applyFont="1" applyFill="1"/>
    <xf numFmtId="43" fontId="28" fillId="0" borderId="0" xfId="0" applyNumberFormat="1" applyFont="1"/>
    <xf numFmtId="44" fontId="28" fillId="9" borderId="0" xfId="2" applyFont="1" applyFill="1"/>
    <xf numFmtId="43" fontId="26" fillId="5" borderId="0" xfId="0" applyNumberFormat="1" applyFont="1" applyFill="1"/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43" fontId="33" fillId="0" borderId="0" xfId="0" applyNumberFormat="1" applyFont="1"/>
    <xf numFmtId="43" fontId="28" fillId="9" borderId="0" xfId="1" applyFont="1" applyFill="1"/>
    <xf numFmtId="164" fontId="27" fillId="0" borderId="0" xfId="0" applyNumberFormat="1" applyFont="1"/>
    <xf numFmtId="164" fontId="27" fillId="0" borderId="0" xfId="1" applyNumberFormat="1" applyFont="1"/>
    <xf numFmtId="43" fontId="27" fillId="0" borderId="0" xfId="1" applyFont="1"/>
    <xf numFmtId="0" fontId="32" fillId="10" borderId="0" xfId="0" applyFont="1" applyFill="1" applyAlignment="1">
      <alignment horizontal="center"/>
    </xf>
    <xf numFmtId="164" fontId="27" fillId="10" borderId="0" xfId="0" applyNumberFormat="1" applyFont="1" applyFill="1"/>
    <xf numFmtId="0" fontId="27" fillId="10" borderId="0" xfId="0" applyFont="1" applyFill="1"/>
    <xf numFmtId="0" fontId="0" fillId="10" borderId="0" xfId="0" applyFill="1"/>
    <xf numFmtId="0" fontId="26" fillId="10" borderId="0" xfId="0" applyFont="1" applyFill="1" applyAlignment="1">
      <alignment horizontal="center"/>
    </xf>
    <xf numFmtId="0" fontId="26" fillId="10" borderId="0" xfId="0" applyFont="1" applyFill="1" applyAlignment="1">
      <alignment horizontal="center" vertical="center"/>
    </xf>
    <xf numFmtId="0" fontId="25" fillId="10" borderId="0" xfId="1" applyNumberFormat="1" applyFont="1" applyFill="1" applyAlignment="1">
      <alignment horizontal="center"/>
    </xf>
    <xf numFmtId="0" fontId="25" fillId="10" borderId="0" xfId="0" applyFont="1" applyFill="1" applyAlignment="1">
      <alignment horizontal="center"/>
    </xf>
    <xf numFmtId="0" fontId="30" fillId="10" borderId="0" xfId="0" applyFont="1" applyFill="1"/>
    <xf numFmtId="165" fontId="30" fillId="10" borderId="0" xfId="1" applyNumberFormat="1" applyFont="1" applyFill="1"/>
    <xf numFmtId="44" fontId="0" fillId="12" borderId="0" xfId="0" applyNumberFormat="1" applyFill="1"/>
    <xf numFmtId="0" fontId="8" fillId="11" borderId="0" xfId="0" applyFont="1" applyFill="1"/>
    <xf numFmtId="44" fontId="8" fillId="11" borderId="0" xfId="0" applyNumberFormat="1" applyFont="1" applyFill="1"/>
    <xf numFmtId="44" fontId="34" fillId="9" borderId="0" xfId="2" applyFont="1" applyFill="1"/>
    <xf numFmtId="44" fontId="34" fillId="5" borderId="0" xfId="2" applyFont="1" applyFill="1"/>
    <xf numFmtId="0" fontId="0" fillId="13" borderId="0" xfId="0" applyFill="1"/>
    <xf numFmtId="44" fontId="0" fillId="13" borderId="0" xfId="0" applyNumberFormat="1" applyFill="1"/>
    <xf numFmtId="44" fontId="26" fillId="0" borderId="0" xfId="0" applyNumberFormat="1" applyFont="1"/>
    <xf numFmtId="43" fontId="35" fillId="0" borderId="0" xfId="0" applyNumberFormat="1" applyFont="1"/>
    <xf numFmtId="0" fontId="21" fillId="0" borderId="0" xfId="0" applyFont="1"/>
    <xf numFmtId="0" fontId="21" fillId="3" borderId="0" xfId="0" applyFont="1" applyFill="1"/>
    <xf numFmtId="0" fontId="0" fillId="3" borderId="0" xfId="0" applyFill="1"/>
    <xf numFmtId="0" fontId="22" fillId="0" borderId="0" xfId="0" applyFont="1"/>
    <xf numFmtId="44" fontId="0" fillId="3" borderId="0" xfId="0" applyNumberFormat="1" applyFill="1"/>
    <xf numFmtId="0" fontId="21" fillId="4" borderId="0" xfId="0" applyFont="1" applyFill="1"/>
    <xf numFmtId="0" fontId="0" fillId="4" borderId="0" xfId="0" applyFill="1"/>
    <xf numFmtId="44" fontId="0" fillId="4" borderId="0" xfId="0" applyNumberFormat="1" applyFill="1"/>
    <xf numFmtId="0" fontId="21" fillId="5" borderId="0" xfId="0" applyFont="1" applyFill="1"/>
    <xf numFmtId="8" fontId="8" fillId="0" borderId="0" xfId="0" applyNumberFormat="1" applyFont="1"/>
    <xf numFmtId="0" fontId="10" fillId="5" borderId="0" xfId="0" applyFont="1" applyFill="1"/>
    <xf numFmtId="44" fontId="10" fillId="5" borderId="0" xfId="0" applyNumberFormat="1" applyFont="1" applyFill="1"/>
    <xf numFmtId="0" fontId="23" fillId="6" borderId="0" xfId="0" applyFont="1" applyFill="1"/>
    <xf numFmtId="44" fontId="2" fillId="6" borderId="0" xfId="0" applyNumberFormat="1" applyFont="1" applyFill="1"/>
    <xf numFmtId="0" fontId="32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0" fillId="0" borderId="0" xfId="0" applyFont="1" applyAlignment="1">
      <alignment horizontal="center"/>
    </xf>
  </cellXfs>
  <cellStyles count="6">
    <cellStyle name="Comma" xfId="1" builtinId="3"/>
    <cellStyle name="Currency" xfId="2" builtinId="4"/>
    <cellStyle name="Normal" xfId="0" builtinId="0"/>
    <cellStyle name="Normal 2" xfId="5" xr:uid="{DE2FB830-D5CC-4CC2-98FA-4682292EFDD0}"/>
    <cellStyle name="Normal 3 2" xfId="4" xr:uid="{92005147-C469-4EC7-9148-CE731AF7A37B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Niche</a:t>
            </a:r>
            <a:r>
              <a:rPr lang="en-US" baseline="0"/>
              <a:t> Market projected Kg.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ANALYSIS!$AV$85</c:f>
              <c:strCache>
                <c:ptCount val="1"/>
                <c:pt idx="0">
                  <c:v>Americas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ANALYSIS!$AU$86:$AU$90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ANALYSIS!$AV$86:$AV$90</c:f>
              <c:numCache>
                <c:formatCode>_(* #,##0.00_);_(* \(#,##0.00\);_(* "-"??_);_(@_)</c:formatCode>
                <c:ptCount val="5"/>
                <c:pt idx="0">
                  <c:v>24624000</c:v>
                </c:pt>
                <c:pt idx="1">
                  <c:v>40992000</c:v>
                </c:pt>
                <c:pt idx="2">
                  <c:v>49776000</c:v>
                </c:pt>
                <c:pt idx="3">
                  <c:v>70272000</c:v>
                </c:pt>
                <c:pt idx="4">
                  <c:v>93696000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D3-4A0A-A051-9C866BA6A2E0}"/>
            </c:ext>
          </c:extLst>
        </c:ser>
        <c:ser>
          <c:idx val="1"/>
          <c:order val="1"/>
          <c:tx>
            <c:strRef>
              <c:f>ANALYSIS!$AW$85</c:f>
              <c:strCache>
                <c:ptCount val="1"/>
                <c:pt idx="0">
                  <c:v>Europe / Asia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ANALYSIS!$AU$86:$AU$90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ANALYSIS!$AW$86:$AW$90</c:f>
              <c:numCache>
                <c:formatCode>General</c:formatCode>
                <c:ptCount val="5"/>
                <c:pt idx="2" formatCode="_(* #,##0.00_);_(* \(#,##0.00\);_(* &quot;-&quot;??_);_(@_)">
                  <c:v>24480000</c:v>
                </c:pt>
                <c:pt idx="3" formatCode="_(* #,##0.00_);_(* \(#,##0.00\);_(* &quot;-&quot;??_);_(@_)">
                  <c:v>44064000</c:v>
                </c:pt>
                <c:pt idx="4" formatCode="_(* #,##0.00_);_(* \(#,##0.00\);_(* &quot;-&quot;??_);_(@_)">
                  <c:v>48960000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D3-4A0A-A051-9C866BA6A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85361456"/>
        <c:axId val="1185359536"/>
        <c:axId val="0"/>
      </c:bar3DChart>
      <c:catAx>
        <c:axId val="118536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359536"/>
        <c:crosses val="autoZero"/>
        <c:auto val="1"/>
        <c:lblAlgn val="ctr"/>
        <c:lblOffset val="100"/>
        <c:noMultiLvlLbl val="0"/>
      </c:catAx>
      <c:valAx>
        <c:axId val="118535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361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65484</xdr:colOff>
      <xdr:row>73</xdr:row>
      <xdr:rowOff>134540</xdr:rowOff>
    </xdr:from>
    <xdr:to>
      <xdr:col>39</xdr:col>
      <xdr:colOff>398859</xdr:colOff>
      <xdr:row>88</xdr:row>
      <xdr:rowOff>20240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DE7793-D7CB-95D6-25D4-9B4D754455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A467E-9B73-4341-896C-B3BD78BE4B74}">
  <dimension ref="B1:AD125"/>
  <sheetViews>
    <sheetView workbookViewId="0">
      <selection activeCell="G14" sqref="G14"/>
    </sheetView>
  </sheetViews>
  <sheetFormatPr defaultRowHeight="15" x14ac:dyDescent="0.25"/>
  <cols>
    <col min="2" max="2" width="5.7109375" bestFit="1" customWidth="1"/>
    <col min="3" max="3" width="10.140625" bestFit="1" customWidth="1"/>
    <col min="4" max="4" width="7.28515625" bestFit="1" customWidth="1"/>
    <col min="5" max="5" width="11.28515625" bestFit="1" customWidth="1"/>
    <col min="6" max="6" width="14.5703125" bestFit="1" customWidth="1"/>
    <col min="7" max="9" width="15.28515625" bestFit="1" customWidth="1"/>
    <col min="10" max="10" width="16.28515625" bestFit="1" customWidth="1"/>
    <col min="11" max="11" width="12.5703125" bestFit="1" customWidth="1"/>
    <col min="12" max="12" width="9.5703125" bestFit="1" customWidth="1"/>
    <col min="13" max="13" width="12.5703125" bestFit="1" customWidth="1"/>
    <col min="14" max="14" width="14.5703125" bestFit="1" customWidth="1"/>
    <col min="15" max="15" width="15.28515625" bestFit="1" customWidth="1"/>
    <col min="16" max="16" width="14.28515625" bestFit="1" customWidth="1"/>
    <col min="23" max="23" width="15.28515625" bestFit="1" customWidth="1"/>
    <col min="24" max="24" width="19" bestFit="1" customWidth="1"/>
    <col min="25" max="25" width="14.28515625" bestFit="1" customWidth="1"/>
    <col min="26" max="26" width="15.28515625" bestFit="1" customWidth="1"/>
    <col min="27" max="27" width="12.5703125" bestFit="1" customWidth="1"/>
    <col min="29" max="29" width="11.5703125" bestFit="1" customWidth="1"/>
    <col min="30" max="30" width="16.28515625" bestFit="1" customWidth="1"/>
  </cols>
  <sheetData>
    <row r="1" spans="2:30" x14ac:dyDescent="0.25">
      <c r="B1" s="40"/>
      <c r="C1" s="40"/>
      <c r="D1" s="41" t="s">
        <v>2</v>
      </c>
      <c r="E1" s="40"/>
      <c r="F1" s="40"/>
      <c r="G1" s="41" t="s">
        <v>3</v>
      </c>
      <c r="H1" s="40"/>
      <c r="J1" s="40"/>
      <c r="K1" s="40"/>
      <c r="L1" s="41" t="s">
        <v>2</v>
      </c>
      <c r="M1" s="40"/>
      <c r="N1" s="40"/>
      <c r="O1" s="41" t="s">
        <v>3</v>
      </c>
      <c r="P1" s="40"/>
      <c r="R1" s="40"/>
      <c r="S1" s="40"/>
      <c r="T1" s="41" t="s">
        <v>2</v>
      </c>
      <c r="U1" s="40"/>
      <c r="V1" s="40"/>
      <c r="W1" s="41" t="s">
        <v>3</v>
      </c>
      <c r="X1" s="40"/>
      <c r="Y1" s="40"/>
      <c r="Z1" s="41" t="s">
        <v>108</v>
      </c>
      <c r="AA1" s="40"/>
      <c r="AB1" s="46"/>
      <c r="AC1" s="47" t="s">
        <v>109</v>
      </c>
      <c r="AD1" s="46"/>
    </row>
    <row r="2" spans="2:30" x14ac:dyDescent="0.25">
      <c r="B2" s="41" t="s">
        <v>1</v>
      </c>
      <c r="C2" s="41" t="s">
        <v>0</v>
      </c>
      <c r="D2" s="41" t="s">
        <v>4</v>
      </c>
      <c r="E2" s="41" t="s">
        <v>5</v>
      </c>
      <c r="F2" s="41" t="s">
        <v>0</v>
      </c>
      <c r="G2" s="41" t="s">
        <v>4</v>
      </c>
      <c r="H2" s="41" t="s">
        <v>5</v>
      </c>
      <c r="J2" s="41" t="s">
        <v>1</v>
      </c>
      <c r="K2" s="41" t="s">
        <v>0</v>
      </c>
      <c r="L2" s="41" t="s">
        <v>4</v>
      </c>
      <c r="M2" s="41" t="s">
        <v>5</v>
      </c>
      <c r="N2" s="41" t="s">
        <v>0</v>
      </c>
      <c r="O2" s="41" t="s">
        <v>4</v>
      </c>
      <c r="P2" s="41" t="s">
        <v>5</v>
      </c>
      <c r="R2" s="41" t="s">
        <v>1</v>
      </c>
      <c r="S2" s="41" t="s">
        <v>0</v>
      </c>
      <c r="T2" s="41" t="s">
        <v>4</v>
      </c>
      <c r="U2" s="41" t="s">
        <v>5</v>
      </c>
      <c r="V2" s="41" t="s">
        <v>0</v>
      </c>
      <c r="W2" s="41" t="s">
        <v>4</v>
      </c>
      <c r="X2" s="41" t="s">
        <v>5</v>
      </c>
      <c r="Y2" s="41" t="s">
        <v>0</v>
      </c>
      <c r="Z2" s="41" t="s">
        <v>4</v>
      </c>
      <c r="AA2" s="41" t="s">
        <v>5</v>
      </c>
      <c r="AB2" s="41" t="s">
        <v>0</v>
      </c>
      <c r="AC2" s="41" t="s">
        <v>4</v>
      </c>
      <c r="AD2" s="41" t="s">
        <v>5</v>
      </c>
    </row>
    <row r="3" spans="2:30" x14ac:dyDescent="0.25">
      <c r="B3" s="1">
        <v>1</v>
      </c>
      <c r="C3" t="s">
        <v>7</v>
      </c>
      <c r="D3" s="3">
        <v>2.5</v>
      </c>
      <c r="E3" s="4">
        <v>24000</v>
      </c>
      <c r="F3" s="4" t="s">
        <v>8</v>
      </c>
      <c r="G3" s="3">
        <v>2.5</v>
      </c>
      <c r="H3" s="4">
        <v>24000</v>
      </c>
      <c r="J3" s="1">
        <v>1</v>
      </c>
      <c r="K3" t="s">
        <v>7</v>
      </c>
      <c r="L3" s="3">
        <v>2.5</v>
      </c>
      <c r="M3" s="4">
        <v>24000</v>
      </c>
      <c r="N3" s="4" t="s">
        <v>8</v>
      </c>
      <c r="O3" s="3">
        <v>2.5</v>
      </c>
      <c r="P3" s="4">
        <v>24000</v>
      </c>
      <c r="R3" s="1">
        <v>1</v>
      </c>
      <c r="S3" t="s">
        <v>7</v>
      </c>
      <c r="T3" s="3">
        <v>2.5</v>
      </c>
      <c r="U3" s="4">
        <v>24000</v>
      </c>
      <c r="V3" s="4" t="s">
        <v>8</v>
      </c>
      <c r="W3" s="3">
        <v>2.5</v>
      </c>
      <c r="X3" s="4">
        <v>24000</v>
      </c>
      <c r="Y3" s="4" t="s">
        <v>8</v>
      </c>
      <c r="Z3" s="3">
        <v>2.5</v>
      </c>
      <c r="AA3" s="4">
        <v>24000</v>
      </c>
      <c r="AB3" s="4" t="s">
        <v>110</v>
      </c>
      <c r="AC3" s="3">
        <v>12</v>
      </c>
      <c r="AD3" s="4">
        <v>102000</v>
      </c>
    </row>
    <row r="4" spans="2:30" x14ac:dyDescent="0.25">
      <c r="B4" s="1">
        <v>2</v>
      </c>
      <c r="C4" t="s">
        <v>11</v>
      </c>
      <c r="D4" s="3">
        <v>2.5</v>
      </c>
      <c r="E4" s="4"/>
      <c r="F4" s="4" t="s">
        <v>12</v>
      </c>
      <c r="G4" s="3">
        <v>2.5</v>
      </c>
      <c r="H4" s="4"/>
      <c r="J4" s="1">
        <v>2</v>
      </c>
      <c r="K4" t="s">
        <v>11</v>
      </c>
      <c r="L4" s="3">
        <v>2.5</v>
      </c>
      <c r="M4" s="4"/>
      <c r="N4" s="4" t="s">
        <v>12</v>
      </c>
      <c r="O4" s="3">
        <v>2.5</v>
      </c>
      <c r="P4" s="4"/>
      <c r="R4" s="1">
        <v>2</v>
      </c>
      <c r="S4" t="s">
        <v>11</v>
      </c>
      <c r="T4" s="3">
        <v>2.5</v>
      </c>
      <c r="U4" s="4"/>
      <c r="V4" s="4" t="s">
        <v>12</v>
      </c>
      <c r="W4" s="3">
        <v>2.5</v>
      </c>
      <c r="X4" s="4"/>
      <c r="Y4" s="4" t="s">
        <v>12</v>
      </c>
      <c r="Z4" s="3">
        <v>2.5</v>
      </c>
      <c r="AA4" s="4"/>
      <c r="AB4" s="4" t="s">
        <v>111</v>
      </c>
      <c r="AC4" s="3">
        <v>12</v>
      </c>
      <c r="AD4" s="4">
        <v>102000</v>
      </c>
    </row>
    <row r="5" spans="2:30" x14ac:dyDescent="0.25">
      <c r="B5" s="1">
        <v>3</v>
      </c>
      <c r="C5" t="s">
        <v>9</v>
      </c>
      <c r="D5" s="4">
        <v>3</v>
      </c>
      <c r="E5" s="4">
        <v>24000</v>
      </c>
      <c r="J5" s="1">
        <v>3</v>
      </c>
      <c r="K5" t="s">
        <v>9</v>
      </c>
      <c r="L5" s="4">
        <v>3</v>
      </c>
      <c r="M5" s="4">
        <v>24000</v>
      </c>
      <c r="R5" s="1">
        <v>3</v>
      </c>
      <c r="S5" t="s">
        <v>9</v>
      </c>
      <c r="T5" s="4">
        <v>3</v>
      </c>
      <c r="U5" s="4">
        <v>24000</v>
      </c>
    </row>
    <row r="6" spans="2:30" x14ac:dyDescent="0.25">
      <c r="B6" s="1">
        <v>4</v>
      </c>
      <c r="C6" s="4" t="s">
        <v>10</v>
      </c>
      <c r="D6" s="4">
        <v>3</v>
      </c>
      <c r="E6" s="4">
        <v>12000</v>
      </c>
      <c r="F6" s="4"/>
      <c r="G6" s="4"/>
      <c r="H6" s="4"/>
      <c r="J6" s="1">
        <v>4</v>
      </c>
      <c r="K6" s="4" t="s">
        <v>10</v>
      </c>
      <c r="L6" s="4">
        <v>3</v>
      </c>
      <c r="M6" s="4">
        <v>12000</v>
      </c>
      <c r="N6" s="4"/>
      <c r="O6" s="4"/>
      <c r="P6" s="4"/>
      <c r="R6" s="1">
        <v>4</v>
      </c>
      <c r="S6" s="4" t="s">
        <v>10</v>
      </c>
      <c r="T6" s="4">
        <v>3</v>
      </c>
      <c r="U6" s="4">
        <v>12000</v>
      </c>
      <c r="V6" s="4"/>
      <c r="W6" s="4"/>
      <c r="X6" s="4"/>
      <c r="Y6" s="4"/>
      <c r="Z6" s="4"/>
      <c r="AA6" s="4"/>
      <c r="AB6" s="4"/>
      <c r="AC6" s="4"/>
      <c r="AD6" s="4"/>
    </row>
    <row r="7" spans="2:30" x14ac:dyDescent="0.25">
      <c r="D7" s="4"/>
      <c r="E7" s="4"/>
      <c r="F7" s="4"/>
      <c r="G7" s="4"/>
      <c r="H7" s="4"/>
      <c r="L7" s="4"/>
      <c r="M7" s="4"/>
      <c r="N7" s="4"/>
      <c r="O7" s="4"/>
      <c r="P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2:30" x14ac:dyDescent="0.25">
      <c r="D8" s="4"/>
      <c r="E8" s="4"/>
      <c r="F8" s="4"/>
      <c r="G8" s="4"/>
      <c r="H8" s="4"/>
      <c r="L8" s="4"/>
      <c r="M8" s="4"/>
      <c r="N8" s="4"/>
      <c r="O8" s="4"/>
      <c r="P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2:30" x14ac:dyDescent="0.25">
      <c r="B9" s="44" t="s">
        <v>6</v>
      </c>
      <c r="C9" s="44"/>
      <c r="D9" s="45">
        <f>SUM(D3:D8)</f>
        <v>11</v>
      </c>
      <c r="E9" s="45">
        <f t="shared" ref="E9:H9" si="0">SUM(E3:E8)</f>
        <v>60000</v>
      </c>
      <c r="F9" s="45"/>
      <c r="G9" s="45">
        <f t="shared" si="0"/>
        <v>5</v>
      </c>
      <c r="H9" s="45">
        <f t="shared" si="0"/>
        <v>24000</v>
      </c>
      <c r="I9" s="44"/>
      <c r="J9" s="44" t="s">
        <v>6</v>
      </c>
      <c r="K9" s="44"/>
      <c r="L9" s="45">
        <f>SUM(L3:L8)</f>
        <v>11</v>
      </c>
      <c r="M9" s="45">
        <f t="shared" ref="M9" si="1">SUM(M3:M8)</f>
        <v>60000</v>
      </c>
      <c r="N9" s="45"/>
      <c r="O9" s="45">
        <f t="shared" ref="O9" si="2">SUM(O3:O8)</f>
        <v>5</v>
      </c>
      <c r="P9" s="45">
        <f t="shared" ref="P9" si="3">SUM(P3:P8)</f>
        <v>24000</v>
      </c>
      <c r="Q9" s="44"/>
      <c r="R9" s="44" t="s">
        <v>6</v>
      </c>
      <c r="S9" s="44"/>
      <c r="T9" s="45">
        <f>SUM(T3:T8)</f>
        <v>11</v>
      </c>
      <c r="U9" s="45">
        <f t="shared" ref="U9" si="4">SUM(U3:U8)</f>
        <v>60000</v>
      </c>
      <c r="V9" s="45"/>
      <c r="W9" s="45">
        <f t="shared" ref="W9" si="5">SUM(W3:W8)</f>
        <v>5</v>
      </c>
      <c r="X9" s="45">
        <f t="shared" ref="X9" si="6">SUM(X3:X8)</f>
        <v>24000</v>
      </c>
      <c r="Y9" s="45"/>
      <c r="Z9" s="45">
        <f t="shared" ref="Z9" si="7">SUM(Z3:Z8)</f>
        <v>5</v>
      </c>
      <c r="AA9" s="45">
        <f t="shared" ref="AA9" si="8">SUM(AA3:AA8)</f>
        <v>24000</v>
      </c>
      <c r="AB9" s="48"/>
      <c r="AC9" s="48">
        <f t="shared" ref="AC9" si="9">SUM(AC3:AC8)</f>
        <v>24</v>
      </c>
      <c r="AD9" s="48">
        <f t="shared" ref="AD9" si="10">SUM(AD3:AD8)</f>
        <v>204000</v>
      </c>
    </row>
    <row r="10" spans="2:30" x14ac:dyDescent="0.25">
      <c r="E10" t="s">
        <v>13</v>
      </c>
      <c r="F10">
        <v>1</v>
      </c>
      <c r="G10" s="5">
        <f>D9+G9</f>
        <v>16</v>
      </c>
      <c r="H10" s="5">
        <f>E9+H9</f>
        <v>84000</v>
      </c>
      <c r="M10" t="s">
        <v>13</v>
      </c>
      <c r="N10">
        <v>1</v>
      </c>
      <c r="O10" s="5">
        <f>L9+O9</f>
        <v>16</v>
      </c>
      <c r="P10" s="5">
        <f>M9+P9</f>
        <v>84000</v>
      </c>
      <c r="X10" t="s">
        <v>13</v>
      </c>
      <c r="Y10">
        <v>1</v>
      </c>
      <c r="Z10" s="5">
        <f>T9+W9+Z9</f>
        <v>21</v>
      </c>
      <c r="AA10" s="5">
        <f>U9+X9+AA9</f>
        <v>108000</v>
      </c>
      <c r="AB10">
        <v>1</v>
      </c>
      <c r="AC10" s="5">
        <f>AC9*Y10</f>
        <v>24</v>
      </c>
      <c r="AD10" s="5">
        <f>AD9*AB10</f>
        <v>204000</v>
      </c>
    </row>
    <row r="11" spans="2:30" x14ac:dyDescent="0.25">
      <c r="E11" t="s">
        <v>14</v>
      </c>
      <c r="F11">
        <v>6</v>
      </c>
      <c r="G11" s="5">
        <f>G10*F11</f>
        <v>96</v>
      </c>
      <c r="H11" s="5">
        <f>H10*F11</f>
        <v>504000</v>
      </c>
      <c r="M11" t="s">
        <v>14</v>
      </c>
      <c r="N11">
        <v>7</v>
      </c>
      <c r="O11" s="5">
        <f>O10*N11</f>
        <v>112</v>
      </c>
      <c r="P11" s="5">
        <f>P10*N11</f>
        <v>588000</v>
      </c>
      <c r="X11" t="s">
        <v>14</v>
      </c>
      <c r="Y11">
        <v>7</v>
      </c>
      <c r="Z11" s="5">
        <f>Z10*Y11</f>
        <v>147</v>
      </c>
      <c r="AA11" s="5">
        <f>AA10*Y11</f>
        <v>756000</v>
      </c>
      <c r="AB11">
        <v>2</v>
      </c>
      <c r="AC11" s="5">
        <f>AC10*AB11</f>
        <v>48</v>
      </c>
      <c r="AD11" s="5">
        <f>AD10*AB11</f>
        <v>408000</v>
      </c>
    </row>
    <row r="12" spans="2:30" x14ac:dyDescent="0.25">
      <c r="E12" t="s">
        <v>15</v>
      </c>
      <c r="F12">
        <v>4</v>
      </c>
      <c r="G12" s="5">
        <f t="shared" ref="G12:G13" si="11">G11*F12</f>
        <v>384</v>
      </c>
      <c r="H12" s="5">
        <f t="shared" ref="H12:H13" si="12">H11*F12</f>
        <v>2016000</v>
      </c>
      <c r="M12" t="s">
        <v>15</v>
      </c>
      <c r="N12">
        <v>4</v>
      </c>
      <c r="O12" s="5">
        <f t="shared" ref="O12:O13" si="13">O11*N12</f>
        <v>448</v>
      </c>
      <c r="P12" s="5">
        <f t="shared" ref="P12:P13" si="14">P11*N12</f>
        <v>2352000</v>
      </c>
      <c r="X12" t="s">
        <v>15</v>
      </c>
      <c r="Y12">
        <v>4</v>
      </c>
      <c r="Z12" s="5">
        <f t="shared" ref="Z12:Z13" si="15">Z11*Y12</f>
        <v>588</v>
      </c>
      <c r="AA12" s="5">
        <f t="shared" ref="AA12:AA13" si="16">AA11*Y12</f>
        <v>3024000</v>
      </c>
      <c r="AB12">
        <v>4</v>
      </c>
      <c r="AC12" s="5">
        <f t="shared" ref="AC12:AC13" si="17">AC11*AB12</f>
        <v>192</v>
      </c>
      <c r="AD12" s="5">
        <f>AD11*AB12</f>
        <v>1632000</v>
      </c>
    </row>
    <row r="13" spans="2:30" x14ac:dyDescent="0.25">
      <c r="E13" t="s">
        <v>16</v>
      </c>
      <c r="F13">
        <v>12</v>
      </c>
      <c r="G13" s="5">
        <f t="shared" si="11"/>
        <v>4608</v>
      </c>
      <c r="H13" s="5">
        <f t="shared" si="12"/>
        <v>24192000</v>
      </c>
      <c r="M13" t="s">
        <v>16</v>
      </c>
      <c r="N13">
        <v>12</v>
      </c>
      <c r="O13" s="5">
        <f t="shared" si="13"/>
        <v>5376</v>
      </c>
      <c r="P13" s="5">
        <f t="shared" si="14"/>
        <v>28224000</v>
      </c>
      <c r="X13" t="s">
        <v>16</v>
      </c>
      <c r="Y13">
        <v>12</v>
      </c>
      <c r="Z13" s="5">
        <f t="shared" si="15"/>
        <v>7056</v>
      </c>
      <c r="AA13" s="5">
        <f t="shared" si="16"/>
        <v>36288000</v>
      </c>
      <c r="AB13">
        <v>12</v>
      </c>
      <c r="AC13" s="5">
        <f t="shared" si="17"/>
        <v>2304</v>
      </c>
      <c r="AD13" s="5">
        <f>AD12*AB13</f>
        <v>19584000</v>
      </c>
    </row>
    <row r="14" spans="2:30" x14ac:dyDescent="0.25">
      <c r="E14" t="s">
        <v>87</v>
      </c>
      <c r="G14" s="10">
        <f>G13*variables!$C$3</f>
        <v>41472000</v>
      </c>
      <c r="H14" s="5">
        <f>H13*variables!$C$5</f>
        <v>72576000</v>
      </c>
      <c r="M14" t="s">
        <v>87</v>
      </c>
      <c r="O14" s="10">
        <f>O13*variables!$C$3</f>
        <v>48384000</v>
      </c>
      <c r="P14" s="5">
        <f>P13*variables!$C$5</f>
        <v>84672000</v>
      </c>
      <c r="X14" t="s">
        <v>87</v>
      </c>
      <c r="Z14" s="10">
        <f>Z13*variables!$C$3</f>
        <v>63504000</v>
      </c>
      <c r="AA14" s="5">
        <f>AA13*variables!$C$5</f>
        <v>108864000</v>
      </c>
      <c r="AC14" s="5">
        <f>AC13*variables!$D$3</f>
        <v>41472000</v>
      </c>
      <c r="AD14" s="5">
        <f>AD13*variables!$C$5</f>
        <v>58752000</v>
      </c>
    </row>
    <row r="15" spans="2:30" x14ac:dyDescent="0.25">
      <c r="E15" t="s">
        <v>78</v>
      </c>
      <c r="G15" s="10">
        <f>G14/H13</f>
        <v>1.7142857142857142</v>
      </c>
      <c r="H15" s="5">
        <f>H13*variables!$C$6</f>
        <v>48384000</v>
      </c>
      <c r="M15" t="s">
        <v>78</v>
      </c>
      <c r="O15" s="10">
        <f>O14/P13</f>
        <v>1.7142857142857142</v>
      </c>
      <c r="P15" s="5">
        <f>P13*variables!$C$6</f>
        <v>56448000</v>
      </c>
      <c r="X15" t="s">
        <v>78</v>
      </c>
      <c r="Z15" s="10">
        <f>Z14/AA13</f>
        <v>1.75</v>
      </c>
      <c r="AA15" s="5">
        <f>AA13*variables!$C$6</f>
        <v>72576000</v>
      </c>
      <c r="AC15" s="10">
        <f>AC14/AD13</f>
        <v>2.1176470588235294</v>
      </c>
      <c r="AD15" s="5">
        <f>AD13*variables!$D$6</f>
        <v>34272000</v>
      </c>
    </row>
    <row r="16" spans="2:30" x14ac:dyDescent="0.25">
      <c r="E16" t="s">
        <v>86</v>
      </c>
      <c r="H16" s="5">
        <f>G14+H14+H15</f>
        <v>162432000</v>
      </c>
      <c r="M16" t="s">
        <v>86</v>
      </c>
      <c r="P16" s="5">
        <f>O14+P14+P15</f>
        <v>189504000</v>
      </c>
      <c r="X16" t="s">
        <v>86</v>
      </c>
      <c r="AA16" s="5">
        <f>Z14+AA14+AA15</f>
        <v>244944000</v>
      </c>
      <c r="AD16" s="5">
        <f>AC14+AD14+AD15</f>
        <v>134496000</v>
      </c>
    </row>
    <row r="18" spans="2:30" x14ac:dyDescent="0.25">
      <c r="B18" s="41" t="s">
        <v>1</v>
      </c>
      <c r="C18" s="41" t="s">
        <v>0</v>
      </c>
      <c r="D18" s="41" t="s">
        <v>4</v>
      </c>
      <c r="E18" s="41" t="s">
        <v>5</v>
      </c>
      <c r="F18" s="41" t="s">
        <v>0</v>
      </c>
      <c r="G18" s="41" t="s">
        <v>4</v>
      </c>
      <c r="H18" s="41" t="s">
        <v>5</v>
      </c>
      <c r="J18" s="41" t="s">
        <v>1</v>
      </c>
      <c r="K18" s="41" t="s">
        <v>0</v>
      </c>
      <c r="L18" s="41" t="s">
        <v>4</v>
      </c>
      <c r="M18" s="41" t="s">
        <v>5</v>
      </c>
      <c r="N18" s="41" t="s">
        <v>0</v>
      </c>
      <c r="O18" s="41" t="s">
        <v>4</v>
      </c>
      <c r="P18" s="41" t="s">
        <v>5</v>
      </c>
      <c r="R18" s="41" t="s">
        <v>1</v>
      </c>
      <c r="S18" s="41" t="s">
        <v>0</v>
      </c>
      <c r="T18" s="41" t="s">
        <v>4</v>
      </c>
      <c r="U18" s="41" t="s">
        <v>5</v>
      </c>
      <c r="V18" s="41" t="s">
        <v>0</v>
      </c>
      <c r="W18" s="41" t="s">
        <v>4</v>
      </c>
      <c r="X18" s="41" t="s">
        <v>5</v>
      </c>
      <c r="Y18" s="41" t="s">
        <v>0</v>
      </c>
      <c r="Z18" s="41" t="s">
        <v>4</v>
      </c>
      <c r="AA18" s="41" t="s">
        <v>5</v>
      </c>
      <c r="AB18" s="40"/>
      <c r="AC18" s="40"/>
      <c r="AD18" s="40"/>
    </row>
    <row r="19" spans="2:30" x14ac:dyDescent="0.25">
      <c r="B19" s="1">
        <v>5</v>
      </c>
      <c r="F19" t="s">
        <v>9</v>
      </c>
      <c r="G19" s="4">
        <v>3</v>
      </c>
      <c r="H19" s="4">
        <v>24000</v>
      </c>
      <c r="J19" s="1">
        <v>5</v>
      </c>
      <c r="K19" t="s">
        <v>9</v>
      </c>
      <c r="L19" s="4">
        <v>3</v>
      </c>
      <c r="M19" s="4">
        <v>24000</v>
      </c>
      <c r="N19" t="s">
        <v>9</v>
      </c>
      <c r="O19" s="4">
        <v>3</v>
      </c>
      <c r="P19" s="4">
        <v>24000</v>
      </c>
      <c r="R19" s="1">
        <v>5</v>
      </c>
      <c r="S19" t="s">
        <v>9</v>
      </c>
      <c r="T19" s="4">
        <v>3</v>
      </c>
      <c r="U19" s="4">
        <v>24000</v>
      </c>
      <c r="W19" s="4"/>
      <c r="X19" s="4"/>
      <c r="Y19" t="s">
        <v>9</v>
      </c>
      <c r="Z19" s="4">
        <v>3</v>
      </c>
      <c r="AA19" s="4">
        <v>24000</v>
      </c>
    </row>
    <row r="20" spans="2:30" x14ac:dyDescent="0.25">
      <c r="B20" s="1">
        <v>6</v>
      </c>
      <c r="F20" s="4" t="s">
        <v>10</v>
      </c>
      <c r="G20" s="4">
        <v>3</v>
      </c>
      <c r="H20" s="4">
        <v>12000</v>
      </c>
      <c r="J20" s="1">
        <v>6</v>
      </c>
      <c r="K20" s="4" t="s">
        <v>10</v>
      </c>
      <c r="L20" s="4">
        <v>3</v>
      </c>
      <c r="M20" s="4">
        <v>12000</v>
      </c>
      <c r="N20" s="4"/>
      <c r="O20" s="4"/>
      <c r="P20" s="4"/>
      <c r="R20" s="1">
        <v>6</v>
      </c>
      <c r="S20" s="4" t="s">
        <v>10</v>
      </c>
      <c r="T20" s="4">
        <v>3</v>
      </c>
      <c r="U20" s="4">
        <v>12000</v>
      </c>
      <c r="V20" s="4"/>
      <c r="W20" s="4"/>
      <c r="X20" s="4"/>
      <c r="Y20" s="4" t="s">
        <v>10</v>
      </c>
      <c r="Z20" s="4">
        <v>3</v>
      </c>
      <c r="AA20" s="4">
        <v>12000</v>
      </c>
    </row>
    <row r="22" spans="2:30" x14ac:dyDescent="0.25">
      <c r="B22" s="44" t="s">
        <v>6</v>
      </c>
      <c r="C22" s="44"/>
      <c r="D22" s="45">
        <f>SUM(D19:D21)</f>
        <v>0</v>
      </c>
      <c r="E22" s="45">
        <f t="shared" ref="E22:H22" si="18">SUM(E19:E21)</f>
        <v>0</v>
      </c>
      <c r="F22" s="45">
        <f t="shared" si="18"/>
        <v>0</v>
      </c>
      <c r="G22" s="45">
        <f t="shared" si="18"/>
        <v>6</v>
      </c>
      <c r="H22" s="45">
        <f t="shared" si="18"/>
        <v>36000</v>
      </c>
      <c r="I22" s="44"/>
      <c r="J22" s="44" t="s">
        <v>6</v>
      </c>
      <c r="K22" s="44"/>
      <c r="L22" s="45">
        <f>SUM(L19:L21)</f>
        <v>6</v>
      </c>
      <c r="M22" s="45">
        <f t="shared" ref="M22" si="19">SUM(M19:M21)</f>
        <v>36000</v>
      </c>
      <c r="N22" s="45">
        <f t="shared" ref="N22" si="20">SUM(N19:N21)</f>
        <v>0</v>
      </c>
      <c r="O22" s="45">
        <f t="shared" ref="O22" si="21">SUM(O19:O21)</f>
        <v>3</v>
      </c>
      <c r="P22" s="45">
        <f t="shared" ref="P22" si="22">SUM(P19:P21)</f>
        <v>24000</v>
      </c>
      <c r="Q22" s="44"/>
      <c r="R22" s="44" t="s">
        <v>6</v>
      </c>
      <c r="S22" s="44"/>
      <c r="T22" s="45">
        <f>SUM(T19:T21)</f>
        <v>6</v>
      </c>
      <c r="U22" s="45">
        <f t="shared" ref="U22" si="23">SUM(U19:U21)</f>
        <v>36000</v>
      </c>
      <c r="V22" s="45">
        <f t="shared" ref="V22" si="24">SUM(V19:V21)</f>
        <v>0</v>
      </c>
      <c r="W22" s="45">
        <f t="shared" ref="W22" si="25">SUM(W19:W21)</f>
        <v>0</v>
      </c>
      <c r="X22" s="45">
        <f t="shared" ref="X22" si="26">SUM(X19:X21)</f>
        <v>0</v>
      </c>
      <c r="Y22" s="45"/>
      <c r="Z22" s="45">
        <f t="shared" ref="Z22" si="27">SUM(Z19:Z21)</f>
        <v>6</v>
      </c>
      <c r="AA22" s="45">
        <f t="shared" ref="AA22" si="28">SUM(AA19:AA21)</f>
        <v>36000</v>
      </c>
    </row>
    <row r="23" spans="2:30" x14ac:dyDescent="0.25">
      <c r="E23" t="s">
        <v>13</v>
      </c>
      <c r="F23">
        <v>1</v>
      </c>
      <c r="G23" s="5">
        <f>D22+G22</f>
        <v>6</v>
      </c>
      <c r="H23" s="5">
        <f>E22+H22</f>
        <v>36000</v>
      </c>
      <c r="M23" t="s">
        <v>13</v>
      </c>
      <c r="N23">
        <v>1</v>
      </c>
      <c r="O23" s="5">
        <f>L22+O22</f>
        <v>9</v>
      </c>
      <c r="P23" s="5">
        <f>M22+P22</f>
        <v>60000</v>
      </c>
      <c r="X23" t="s">
        <v>13</v>
      </c>
      <c r="Y23">
        <v>1</v>
      </c>
      <c r="Z23" s="5">
        <f>T22+W22+Z22</f>
        <v>12</v>
      </c>
      <c r="AA23" s="5">
        <f>U22+X22+AA22</f>
        <v>72000</v>
      </c>
    </row>
    <row r="24" spans="2:30" x14ac:dyDescent="0.25">
      <c r="E24" t="s">
        <v>14</v>
      </c>
      <c r="F24">
        <v>7</v>
      </c>
      <c r="G24" s="5">
        <f>G23*F24</f>
        <v>42</v>
      </c>
      <c r="H24" s="5">
        <f>H23*F24</f>
        <v>252000</v>
      </c>
      <c r="M24" t="s">
        <v>14</v>
      </c>
      <c r="N24">
        <v>7</v>
      </c>
      <c r="O24" s="5">
        <f>O23*N24</f>
        <v>63</v>
      </c>
      <c r="P24" s="5">
        <f>P23*N24</f>
        <v>420000</v>
      </c>
      <c r="T24" s="5">
        <f>T9+W9+Z9+Z22+W22+T22</f>
        <v>33</v>
      </c>
      <c r="X24" t="s">
        <v>14</v>
      </c>
      <c r="Y24">
        <v>7</v>
      </c>
      <c r="Z24" s="5">
        <f>Z23*Y24</f>
        <v>84</v>
      </c>
      <c r="AA24" s="5">
        <f>AA23*Y24</f>
        <v>504000</v>
      </c>
    </row>
    <row r="25" spans="2:30" x14ac:dyDescent="0.25">
      <c r="E25" t="s">
        <v>15</v>
      </c>
      <c r="F25">
        <v>4</v>
      </c>
      <c r="G25" s="5">
        <f t="shared" ref="G25:G26" si="29">G24*F25</f>
        <v>168</v>
      </c>
      <c r="H25" s="5">
        <f t="shared" ref="H25:H26" si="30">H24*F25</f>
        <v>1008000</v>
      </c>
      <c r="M25" t="s">
        <v>15</v>
      </c>
      <c r="N25">
        <v>4</v>
      </c>
      <c r="O25" s="5">
        <f t="shared" ref="O25:O26" si="31">O24*N25</f>
        <v>252</v>
      </c>
      <c r="P25" s="5">
        <f t="shared" ref="P25:P26" si="32">P24*N25</f>
        <v>1680000</v>
      </c>
      <c r="X25" t="s">
        <v>15</v>
      </c>
      <c r="Y25">
        <v>4</v>
      </c>
      <c r="Z25" s="5">
        <f>Z24*Y25</f>
        <v>336</v>
      </c>
      <c r="AA25" s="5">
        <f>AA24*Y25</f>
        <v>2016000</v>
      </c>
    </row>
    <row r="26" spans="2:30" x14ac:dyDescent="0.25">
      <c r="E26" t="s">
        <v>16</v>
      </c>
      <c r="F26">
        <v>12</v>
      </c>
      <c r="G26" s="5">
        <f t="shared" si="29"/>
        <v>2016</v>
      </c>
      <c r="H26" s="5">
        <f t="shared" si="30"/>
        <v>12096000</v>
      </c>
      <c r="M26" t="s">
        <v>16</v>
      </c>
      <c r="N26">
        <v>12</v>
      </c>
      <c r="O26" s="5">
        <f t="shared" si="31"/>
        <v>3024</v>
      </c>
      <c r="P26" s="5">
        <f t="shared" si="32"/>
        <v>20160000</v>
      </c>
      <c r="X26" t="s">
        <v>16</v>
      </c>
      <c r="Y26">
        <v>12</v>
      </c>
      <c r="Z26" s="5">
        <f>Z25*Y26</f>
        <v>4032</v>
      </c>
      <c r="AA26" s="5">
        <f>AA25*Y26</f>
        <v>24192000</v>
      </c>
    </row>
    <row r="27" spans="2:30" x14ac:dyDescent="0.25">
      <c r="E27" t="s">
        <v>87</v>
      </c>
      <c r="G27" s="10">
        <f>G26*variables!$C$3</f>
        <v>18144000</v>
      </c>
      <c r="H27" s="5"/>
      <c r="M27" t="s">
        <v>87</v>
      </c>
      <c r="O27" s="10">
        <f>O26*variables!$C$3</f>
        <v>27216000</v>
      </c>
      <c r="P27" s="5"/>
      <c r="X27" t="s">
        <v>87</v>
      </c>
      <c r="Z27" s="10">
        <f>Z26*variables!$C$4</f>
        <v>40320000</v>
      </c>
      <c r="AA27" s="5"/>
    </row>
    <row r="28" spans="2:30" x14ac:dyDescent="0.25">
      <c r="E28" t="s">
        <v>78</v>
      </c>
      <c r="G28" s="10">
        <f>G27/H26</f>
        <v>1.5</v>
      </c>
      <c r="H28" s="5"/>
      <c r="M28" t="s">
        <v>78</v>
      </c>
      <c r="O28" s="10">
        <f>O27/P26</f>
        <v>1.35</v>
      </c>
      <c r="P28" s="5"/>
      <c r="X28" t="s">
        <v>78</v>
      </c>
      <c r="Y28" s="10">
        <f>Z27/AA26</f>
        <v>1.6666666666666667</v>
      </c>
      <c r="AA28" s="5"/>
    </row>
    <row r="29" spans="2:30" x14ac:dyDescent="0.25">
      <c r="E29" t="s">
        <v>86</v>
      </c>
      <c r="H29" s="5">
        <f>G27+H27+H28</f>
        <v>18144000</v>
      </c>
      <c r="M29" t="s">
        <v>86</v>
      </c>
      <c r="P29" s="5">
        <f>O27+P27+P28</f>
        <v>27216000</v>
      </c>
      <c r="X29" t="s">
        <v>86</v>
      </c>
      <c r="AA29" s="5">
        <f>Z27+AA27+AA28</f>
        <v>40320000</v>
      </c>
    </row>
    <row r="31" spans="2:30" x14ac:dyDescent="0.25">
      <c r="B31" s="42"/>
      <c r="C31" s="42"/>
      <c r="D31" s="42"/>
      <c r="E31" s="42" t="s">
        <v>6</v>
      </c>
      <c r="F31" s="42"/>
      <c r="G31" s="43">
        <f>G26+G13</f>
        <v>6624</v>
      </c>
      <c r="H31" s="43">
        <f>H26+H13</f>
        <v>36288000</v>
      </c>
      <c r="J31" s="42"/>
      <c r="K31" s="42"/>
      <c r="L31" s="42"/>
      <c r="M31" s="42" t="s">
        <v>6</v>
      </c>
      <c r="N31" s="42"/>
      <c r="O31" s="43">
        <f>O26+O13</f>
        <v>8400</v>
      </c>
      <c r="P31" s="43">
        <f>P26+P13</f>
        <v>48384000</v>
      </c>
      <c r="U31" s="42"/>
      <c r="V31" s="42"/>
      <c r="W31" s="42"/>
      <c r="X31" s="42" t="s">
        <v>116</v>
      </c>
      <c r="Y31" s="42"/>
      <c r="Z31" s="43">
        <f>Z26+Z13</f>
        <v>11088</v>
      </c>
      <c r="AA31" s="43">
        <f>AA26+AA13</f>
        <v>60480000</v>
      </c>
      <c r="AB31" t="s">
        <v>117</v>
      </c>
      <c r="AC31" s="5">
        <f>AC13</f>
        <v>2304</v>
      </c>
      <c r="AD31" s="5">
        <f>AD13</f>
        <v>19584000</v>
      </c>
    </row>
    <row r="33" spans="2:25" x14ac:dyDescent="0.25">
      <c r="W33" t="s">
        <v>115</v>
      </c>
      <c r="X33" t="s">
        <v>112</v>
      </c>
    </row>
    <row r="34" spans="2:25" x14ac:dyDescent="0.25">
      <c r="F34" t="s">
        <v>101</v>
      </c>
      <c r="G34" s="2">
        <f>G31*variables!$C$11*variables!$C$12</f>
        <v>17884800</v>
      </c>
      <c r="H34" s="10"/>
      <c r="N34" t="s">
        <v>101</v>
      </c>
      <c r="O34" s="2">
        <f>O31*variables!$C$11*variables!$C$12</f>
        <v>22680000</v>
      </c>
      <c r="P34" s="10"/>
      <c r="V34" t="s">
        <v>101</v>
      </c>
      <c r="W34" s="2">
        <f>Z31*variables!$C$11*variables!$C$12</f>
        <v>29937600</v>
      </c>
      <c r="X34" s="10">
        <f>AC31*variables!$D$11*variables!$C$12</f>
        <v>12441600</v>
      </c>
      <c r="Y34" s="49">
        <f>SUM(W34:X34)</f>
        <v>42379200</v>
      </c>
    </row>
    <row r="35" spans="2:25" x14ac:dyDescent="0.25">
      <c r="F35" t="s">
        <v>98</v>
      </c>
      <c r="G35" s="10"/>
      <c r="H35" s="10">
        <f>H31*variables!$C$9</f>
        <v>3628800</v>
      </c>
      <c r="N35" t="s">
        <v>98</v>
      </c>
      <c r="O35" s="10"/>
      <c r="P35" s="10">
        <f>P31*variables!$C$9</f>
        <v>4838400</v>
      </c>
      <c r="V35" t="s">
        <v>98</v>
      </c>
      <c r="W35" s="10">
        <f>AA31*variables!$C$9</f>
        <v>6048000</v>
      </c>
      <c r="X35" s="10">
        <f>AD31*variables!$C$9</f>
        <v>1958400</v>
      </c>
      <c r="Y35" s="49">
        <f t="shared" ref="Y35:Y37" si="33">SUM(W35:X35)</f>
        <v>8006400</v>
      </c>
    </row>
    <row r="36" spans="2:25" x14ac:dyDescent="0.25">
      <c r="F36" t="s">
        <v>99</v>
      </c>
      <c r="G36" s="10">
        <f>G31*variables!$C$13*variables!$C$10</f>
        <v>1159200</v>
      </c>
      <c r="N36" t="s">
        <v>99</v>
      </c>
      <c r="O36" s="10">
        <f>O31*variables!$C$13*variables!$C$10</f>
        <v>1470000</v>
      </c>
      <c r="V36" t="s">
        <v>99</v>
      </c>
      <c r="W36" s="10">
        <f>Z31*variables!$C$13*variables!$C$10</f>
        <v>1940399.9999999998</v>
      </c>
      <c r="X36" s="10">
        <f>AC31*variables!$C$13*variables!$C$10</f>
        <v>403200</v>
      </c>
      <c r="Y36" s="49">
        <f t="shared" si="33"/>
        <v>2343600</v>
      </c>
    </row>
    <row r="37" spans="2:25" x14ac:dyDescent="0.25">
      <c r="F37" t="s">
        <v>102</v>
      </c>
      <c r="G37" s="10">
        <f>G31*variables!$C$14</f>
        <v>9936000</v>
      </c>
      <c r="N37" t="s">
        <v>102</v>
      </c>
      <c r="O37" s="10">
        <f>O31*variables!$C$14</f>
        <v>12600000</v>
      </c>
      <c r="V37" t="s">
        <v>102</v>
      </c>
      <c r="W37" s="10">
        <f>Z31*variables!$C$14</f>
        <v>16632000</v>
      </c>
      <c r="X37" s="10">
        <f>AC31*variables!$D$14</f>
        <v>14976000</v>
      </c>
      <c r="Y37" s="49">
        <f t="shared" si="33"/>
        <v>31608000</v>
      </c>
    </row>
    <row r="38" spans="2:25" x14ac:dyDescent="0.25">
      <c r="X38" s="17"/>
    </row>
    <row r="41" spans="2:25" x14ac:dyDescent="0.25">
      <c r="W41">
        <f>400000/26</f>
        <v>15384.615384615385</v>
      </c>
    </row>
    <row r="46" spans="2:25" x14ac:dyDescent="0.25">
      <c r="B46" s="40"/>
      <c r="C46" s="40"/>
      <c r="D46" s="41" t="s">
        <v>2</v>
      </c>
      <c r="E46" s="40"/>
      <c r="F46" s="40"/>
      <c r="G46" s="41" t="s">
        <v>3</v>
      </c>
      <c r="H46" s="40"/>
      <c r="I46" s="40"/>
      <c r="J46" s="41" t="s">
        <v>108</v>
      </c>
      <c r="K46" s="40"/>
      <c r="L46" s="46"/>
      <c r="M46" s="47" t="s">
        <v>109</v>
      </c>
      <c r="N46" s="46"/>
    </row>
    <row r="47" spans="2:25" x14ac:dyDescent="0.25">
      <c r="B47" s="41" t="s">
        <v>1</v>
      </c>
      <c r="C47" s="41" t="s">
        <v>0</v>
      </c>
      <c r="D47" s="41" t="s">
        <v>4</v>
      </c>
      <c r="E47" s="41" t="s">
        <v>5</v>
      </c>
      <c r="F47" s="41" t="s">
        <v>0</v>
      </c>
      <c r="G47" s="41" t="s">
        <v>4</v>
      </c>
      <c r="H47" s="41" t="s">
        <v>5</v>
      </c>
      <c r="I47" s="41" t="s">
        <v>0</v>
      </c>
      <c r="J47" s="41" t="s">
        <v>4</v>
      </c>
      <c r="K47" s="41" t="s">
        <v>5</v>
      </c>
      <c r="L47" s="41" t="s">
        <v>0</v>
      </c>
      <c r="M47" s="41" t="s">
        <v>4</v>
      </c>
      <c r="N47" s="41" t="s">
        <v>5</v>
      </c>
    </row>
    <row r="48" spans="2:25" x14ac:dyDescent="0.25">
      <c r="B48" s="1">
        <v>1</v>
      </c>
      <c r="C48" t="s">
        <v>7</v>
      </c>
      <c r="D48" s="3">
        <v>2.5</v>
      </c>
      <c r="E48" s="4">
        <v>24000</v>
      </c>
      <c r="F48" s="4" t="s">
        <v>8</v>
      </c>
      <c r="G48" s="3">
        <v>2.5</v>
      </c>
      <c r="H48" s="4">
        <v>24000</v>
      </c>
      <c r="I48" s="4" t="s">
        <v>8</v>
      </c>
      <c r="J48" s="3">
        <v>2.5</v>
      </c>
      <c r="K48" s="4">
        <v>24000</v>
      </c>
      <c r="L48" s="4" t="s">
        <v>110</v>
      </c>
      <c r="M48" s="3">
        <v>12</v>
      </c>
      <c r="N48" s="4">
        <v>102000</v>
      </c>
    </row>
    <row r="49" spans="2:14" x14ac:dyDescent="0.25">
      <c r="B49" s="1">
        <v>2</v>
      </c>
      <c r="C49" t="s">
        <v>11</v>
      </c>
      <c r="D49" s="3">
        <v>2.5</v>
      </c>
      <c r="E49" s="4"/>
      <c r="F49" s="4" t="s">
        <v>12</v>
      </c>
      <c r="G49" s="3">
        <v>2.5</v>
      </c>
      <c r="H49" s="4"/>
      <c r="I49" s="4" t="s">
        <v>12</v>
      </c>
      <c r="J49" s="3">
        <v>2.5</v>
      </c>
      <c r="K49" s="4"/>
      <c r="L49" s="4" t="s">
        <v>111</v>
      </c>
      <c r="M49" s="3">
        <v>12</v>
      </c>
      <c r="N49" s="4">
        <v>102000</v>
      </c>
    </row>
    <row r="50" spans="2:14" x14ac:dyDescent="0.25">
      <c r="B50" s="1">
        <v>3</v>
      </c>
      <c r="C50" t="s">
        <v>9</v>
      </c>
      <c r="D50" s="4">
        <v>3</v>
      </c>
      <c r="E50" s="4">
        <v>24000</v>
      </c>
      <c r="F50" s="4" t="s">
        <v>8</v>
      </c>
      <c r="G50" s="3">
        <v>2.5</v>
      </c>
      <c r="H50" s="4">
        <v>24000</v>
      </c>
      <c r="I50" s="4" t="s">
        <v>8</v>
      </c>
      <c r="J50" s="3">
        <v>2.5</v>
      </c>
      <c r="K50" s="4">
        <v>24000</v>
      </c>
      <c r="L50" s="4" t="s">
        <v>111</v>
      </c>
      <c r="M50" s="3">
        <v>12</v>
      </c>
      <c r="N50" s="4">
        <v>102000</v>
      </c>
    </row>
    <row r="51" spans="2:14" x14ac:dyDescent="0.25">
      <c r="B51" s="1">
        <v>4</v>
      </c>
      <c r="C51" s="4" t="s">
        <v>10</v>
      </c>
      <c r="D51" s="4">
        <v>3</v>
      </c>
      <c r="E51" s="4">
        <v>12000</v>
      </c>
      <c r="F51" s="4" t="s">
        <v>12</v>
      </c>
      <c r="G51" s="3">
        <v>2.5</v>
      </c>
      <c r="H51" s="4"/>
      <c r="I51" s="4" t="s">
        <v>12</v>
      </c>
      <c r="J51" s="3">
        <v>2.5</v>
      </c>
      <c r="K51" s="4"/>
      <c r="L51" s="4"/>
      <c r="M51" s="4"/>
      <c r="N51" s="4"/>
    </row>
    <row r="52" spans="2:14" x14ac:dyDescent="0.25">
      <c r="C52" t="s">
        <v>9</v>
      </c>
      <c r="D52" s="4">
        <v>3</v>
      </c>
      <c r="E52" s="4">
        <v>24000</v>
      </c>
      <c r="F52" s="4"/>
      <c r="G52" s="4"/>
      <c r="H52" s="4"/>
      <c r="I52" s="4"/>
      <c r="J52" s="4"/>
      <c r="K52" s="4"/>
      <c r="L52" s="4"/>
      <c r="M52" s="4"/>
      <c r="N52" s="4"/>
    </row>
    <row r="53" spans="2:14" x14ac:dyDescent="0.25">
      <c r="C53" s="4" t="s">
        <v>10</v>
      </c>
      <c r="D53" s="4">
        <v>3</v>
      </c>
      <c r="E53" s="4">
        <v>12000</v>
      </c>
      <c r="F53" s="4"/>
      <c r="G53" s="4"/>
      <c r="H53" s="4"/>
      <c r="I53" s="4"/>
      <c r="J53" s="4"/>
      <c r="K53" s="4"/>
      <c r="L53" s="4"/>
      <c r="M53" s="4"/>
      <c r="N53" s="4"/>
    </row>
    <row r="54" spans="2:14" x14ac:dyDescent="0.25">
      <c r="B54" s="44" t="s">
        <v>6</v>
      </c>
      <c r="C54" s="44"/>
      <c r="D54" s="45">
        <f>SUM(D48:D53)</f>
        <v>17</v>
      </c>
      <c r="E54" s="45">
        <f t="shared" ref="E54" si="34">SUM(E48:E53)</f>
        <v>96000</v>
      </c>
      <c r="F54" s="45"/>
      <c r="G54" s="45">
        <f t="shared" ref="G54" si="35">SUM(G48:G53)</f>
        <v>10</v>
      </c>
      <c r="H54" s="45">
        <f t="shared" ref="H54" si="36">SUM(H48:H53)</f>
        <v>48000</v>
      </c>
      <c r="I54" s="45"/>
      <c r="J54" s="45">
        <f t="shared" ref="J54" si="37">SUM(J48:J53)</f>
        <v>10</v>
      </c>
      <c r="K54" s="45">
        <f t="shared" ref="K54" si="38">SUM(K48:K53)</f>
        <v>48000</v>
      </c>
      <c r="L54" s="48"/>
      <c r="M54" s="48">
        <f t="shared" ref="M54" si="39">SUM(M48:M53)</f>
        <v>36</v>
      </c>
      <c r="N54" s="48">
        <f t="shared" ref="N54" si="40">SUM(N48:N53)</f>
        <v>306000</v>
      </c>
    </row>
    <row r="55" spans="2:14" x14ac:dyDescent="0.25">
      <c r="H55" t="s">
        <v>13</v>
      </c>
      <c r="I55">
        <v>1</v>
      </c>
      <c r="J55" s="5">
        <f>D54+G54+J54</f>
        <v>37</v>
      </c>
      <c r="K55" s="5">
        <f>E54+H54+K54</f>
        <v>192000</v>
      </c>
      <c r="L55">
        <v>1</v>
      </c>
      <c r="M55" s="5">
        <f>M54*I55</f>
        <v>36</v>
      </c>
      <c r="N55" s="5">
        <f>N54*L55</f>
        <v>306000</v>
      </c>
    </row>
    <row r="56" spans="2:14" x14ac:dyDescent="0.25">
      <c r="H56" t="s">
        <v>14</v>
      </c>
      <c r="I56">
        <v>7</v>
      </c>
      <c r="J56" s="5">
        <f>J55*I56</f>
        <v>259</v>
      </c>
      <c r="K56" s="5">
        <f>K55*I56</f>
        <v>1344000</v>
      </c>
      <c r="L56">
        <v>2</v>
      </c>
      <c r="M56" s="5">
        <f>M55*L56</f>
        <v>72</v>
      </c>
      <c r="N56" s="5">
        <f>N55*L56</f>
        <v>612000</v>
      </c>
    </row>
    <row r="57" spans="2:14" x14ac:dyDescent="0.25">
      <c r="H57" t="s">
        <v>15</v>
      </c>
      <c r="I57">
        <v>4</v>
      </c>
      <c r="J57" s="5">
        <f t="shared" ref="J57:J58" si="41">J56*I57</f>
        <v>1036</v>
      </c>
      <c r="K57" s="5">
        <f t="shared" ref="K57:K58" si="42">K56*I57</f>
        <v>5376000</v>
      </c>
      <c r="L57">
        <v>4</v>
      </c>
      <c r="M57" s="5">
        <f t="shared" ref="M57:M58" si="43">M56*L57</f>
        <v>288</v>
      </c>
      <c r="N57" s="5">
        <f>N56*L57</f>
        <v>2448000</v>
      </c>
    </row>
    <row r="58" spans="2:14" x14ac:dyDescent="0.25">
      <c r="H58" t="s">
        <v>16</v>
      </c>
      <c r="I58">
        <v>12</v>
      </c>
      <c r="J58" s="5">
        <f t="shared" si="41"/>
        <v>12432</v>
      </c>
      <c r="K58" s="5">
        <f t="shared" si="42"/>
        <v>64512000</v>
      </c>
      <c r="L58">
        <v>12</v>
      </c>
      <c r="M58" s="5">
        <f t="shared" si="43"/>
        <v>3456</v>
      </c>
      <c r="N58" s="5">
        <f>N57*L58</f>
        <v>29376000</v>
      </c>
    </row>
    <row r="59" spans="2:14" x14ac:dyDescent="0.25">
      <c r="H59" t="s">
        <v>87</v>
      </c>
      <c r="J59" s="10">
        <f>J58*variables!$C$3</f>
        <v>111888000</v>
      </c>
      <c r="K59" s="5">
        <f>K58*variables!$C$5</f>
        <v>193536000</v>
      </c>
      <c r="M59" s="5">
        <f>M58*variables!$D$3</f>
        <v>62208000</v>
      </c>
      <c r="N59" s="5">
        <f>N58*variables!$C$5</f>
        <v>88128000</v>
      </c>
    </row>
    <row r="60" spans="2:14" x14ac:dyDescent="0.25">
      <c r="H60" t="s">
        <v>78</v>
      </c>
      <c r="J60" s="10">
        <f>J59/K58</f>
        <v>1.734375</v>
      </c>
      <c r="K60" s="5">
        <f>K58*variables!$C$6</f>
        <v>129024000</v>
      </c>
      <c r="M60" s="10">
        <f>M59/N58</f>
        <v>2.1176470588235294</v>
      </c>
      <c r="N60" s="5">
        <f>N58*variables!$D$6</f>
        <v>51408000</v>
      </c>
    </row>
    <row r="61" spans="2:14" x14ac:dyDescent="0.25">
      <c r="H61" t="s">
        <v>86</v>
      </c>
      <c r="K61" s="5">
        <f>J59+K59+K60</f>
        <v>434448000</v>
      </c>
      <c r="N61" s="5">
        <f>M59+N59+N60</f>
        <v>201744000</v>
      </c>
    </row>
    <row r="63" spans="2:14" x14ac:dyDescent="0.25">
      <c r="B63" s="41" t="s">
        <v>1</v>
      </c>
      <c r="C63" s="41" t="s">
        <v>0</v>
      </c>
      <c r="D63" s="41" t="s">
        <v>4</v>
      </c>
      <c r="E63" s="41" t="s">
        <v>5</v>
      </c>
      <c r="F63" s="41" t="s">
        <v>0</v>
      </c>
      <c r="G63" s="41" t="s">
        <v>4</v>
      </c>
      <c r="H63" s="41" t="s">
        <v>5</v>
      </c>
      <c r="I63" s="41" t="s">
        <v>0</v>
      </c>
      <c r="J63" s="41" t="s">
        <v>4</v>
      </c>
      <c r="K63" s="41" t="s">
        <v>5</v>
      </c>
      <c r="L63" s="40"/>
      <c r="M63" s="40"/>
      <c r="N63" s="40"/>
    </row>
    <row r="64" spans="2:14" x14ac:dyDescent="0.25">
      <c r="B64" s="1">
        <v>5</v>
      </c>
      <c r="C64" t="s">
        <v>9</v>
      </c>
      <c r="D64" s="4">
        <v>3</v>
      </c>
      <c r="E64" s="4">
        <v>24000</v>
      </c>
      <c r="F64" t="s">
        <v>9</v>
      </c>
      <c r="G64" s="4">
        <v>3</v>
      </c>
      <c r="H64" s="4">
        <v>24000</v>
      </c>
      <c r="I64" t="s">
        <v>9</v>
      </c>
      <c r="J64" s="4">
        <v>3</v>
      </c>
      <c r="K64" s="4">
        <v>24000</v>
      </c>
      <c r="L64" s="4" t="s">
        <v>110</v>
      </c>
      <c r="M64" s="3">
        <v>12</v>
      </c>
      <c r="N64" s="4">
        <v>102000</v>
      </c>
    </row>
    <row r="65" spans="2:16" x14ac:dyDescent="0.25">
      <c r="B65" s="1">
        <v>6</v>
      </c>
      <c r="C65" s="4" t="s">
        <v>10</v>
      </c>
      <c r="D65" s="4">
        <v>3</v>
      </c>
      <c r="E65" s="4">
        <v>12000</v>
      </c>
      <c r="F65" s="4" t="s">
        <v>10</v>
      </c>
      <c r="G65" s="4">
        <v>3</v>
      </c>
      <c r="H65" s="4">
        <v>12000</v>
      </c>
      <c r="I65" s="4" t="s">
        <v>10</v>
      </c>
      <c r="J65" s="4">
        <v>3</v>
      </c>
      <c r="K65" s="4">
        <v>12000</v>
      </c>
      <c r="L65" s="4" t="s">
        <v>111</v>
      </c>
      <c r="M65" s="3">
        <v>12</v>
      </c>
      <c r="N65" s="4">
        <v>102000</v>
      </c>
      <c r="P65" s="5">
        <f>M57+M70</f>
        <v>480</v>
      </c>
    </row>
    <row r="66" spans="2:16" x14ac:dyDescent="0.25">
      <c r="P66">
        <f>20*2*30</f>
        <v>1200</v>
      </c>
    </row>
    <row r="67" spans="2:16" x14ac:dyDescent="0.25">
      <c r="B67" s="44" t="s">
        <v>6</v>
      </c>
      <c r="C67" s="44"/>
      <c r="D67" s="45">
        <f>SUM(D64:D66)</f>
        <v>6</v>
      </c>
      <c r="E67" s="45">
        <f t="shared" ref="E67" si="44">SUM(E64:E66)</f>
        <v>36000</v>
      </c>
      <c r="F67" s="45">
        <f t="shared" ref="F67" si="45">SUM(F64:F66)</f>
        <v>0</v>
      </c>
      <c r="G67" s="45">
        <f t="shared" ref="G67" si="46">SUM(G64:G66)</f>
        <v>6</v>
      </c>
      <c r="H67" s="45">
        <f t="shared" ref="H67" si="47">SUM(H64:H66)</f>
        <v>36000</v>
      </c>
      <c r="I67" s="45"/>
      <c r="J67" s="45">
        <f t="shared" ref="J67" si="48">SUM(J64:J66)</f>
        <v>6</v>
      </c>
      <c r="K67" s="45">
        <f t="shared" ref="K67" si="49">SUM(K64:K66)</f>
        <v>36000</v>
      </c>
      <c r="L67" s="44"/>
      <c r="M67" s="50">
        <f>SUM(M64:M66)</f>
        <v>24</v>
      </c>
      <c r="N67" s="50">
        <f>SUM(N64:N66)</f>
        <v>204000</v>
      </c>
    </row>
    <row r="68" spans="2:16" x14ac:dyDescent="0.25">
      <c r="H68" t="s">
        <v>13</v>
      </c>
      <c r="I68">
        <v>1</v>
      </c>
      <c r="J68" s="5">
        <f>D67+G67+J67</f>
        <v>18</v>
      </c>
      <c r="K68" s="5">
        <f>E67+H67+K67</f>
        <v>108000</v>
      </c>
      <c r="L68">
        <v>1</v>
      </c>
      <c r="M68" s="5">
        <f>M67*I68</f>
        <v>24</v>
      </c>
      <c r="N68" s="5">
        <f>N67*L68</f>
        <v>204000</v>
      </c>
    </row>
    <row r="69" spans="2:16" x14ac:dyDescent="0.25">
      <c r="C69">
        <f>16*4</f>
        <v>64</v>
      </c>
      <c r="D69" s="5">
        <f>D54+G54+J54+J67+G67+D67</f>
        <v>55</v>
      </c>
      <c r="H69" t="s">
        <v>14</v>
      </c>
      <c r="I69">
        <v>7</v>
      </c>
      <c r="J69" s="5">
        <f>J68*I69</f>
        <v>126</v>
      </c>
      <c r="K69" s="5">
        <f>K68*I69</f>
        <v>756000</v>
      </c>
      <c r="L69">
        <v>2</v>
      </c>
      <c r="M69" s="5">
        <f>M68*L69</f>
        <v>48</v>
      </c>
      <c r="N69" s="5">
        <f>N68*L69</f>
        <v>408000</v>
      </c>
    </row>
    <row r="70" spans="2:16" x14ac:dyDescent="0.25">
      <c r="H70" t="s">
        <v>15</v>
      </c>
      <c r="I70">
        <v>4</v>
      </c>
      <c r="J70" s="5">
        <f>J69*I70</f>
        <v>504</v>
      </c>
      <c r="K70" s="5">
        <f>K69*I70</f>
        <v>3024000</v>
      </c>
      <c r="L70">
        <v>4</v>
      </c>
      <c r="M70" s="5">
        <f t="shared" ref="M70:M71" si="50">M69*L70</f>
        <v>192</v>
      </c>
      <c r="N70" s="5">
        <f>N69*L70</f>
        <v>1632000</v>
      </c>
    </row>
    <row r="71" spans="2:16" x14ac:dyDescent="0.25">
      <c r="H71" t="s">
        <v>16</v>
      </c>
      <c r="I71">
        <v>12</v>
      </c>
      <c r="J71" s="5">
        <f>J70*I71</f>
        <v>6048</v>
      </c>
      <c r="K71" s="5">
        <f>K70*I71</f>
        <v>36288000</v>
      </c>
      <c r="L71">
        <v>12</v>
      </c>
      <c r="M71" s="5">
        <f t="shared" si="50"/>
        <v>2304</v>
      </c>
      <c r="N71" s="5">
        <f>N70*L71</f>
        <v>19584000</v>
      </c>
    </row>
    <row r="72" spans="2:16" x14ac:dyDescent="0.25">
      <c r="H72" t="s">
        <v>87</v>
      </c>
      <c r="J72" s="10">
        <f>J71*variables!$C$4</f>
        <v>60480000</v>
      </c>
      <c r="K72" s="5"/>
      <c r="M72" s="5">
        <f>M71*variables!$D$3</f>
        <v>41472000</v>
      </c>
      <c r="N72" s="5"/>
    </row>
    <row r="73" spans="2:16" x14ac:dyDescent="0.25">
      <c r="H73" t="s">
        <v>78</v>
      </c>
      <c r="I73" s="10">
        <f>J72/K71</f>
        <v>1.6666666666666667</v>
      </c>
      <c r="K73" s="5"/>
      <c r="M73" s="10">
        <f>M72/N71</f>
        <v>2.1176470588235294</v>
      </c>
      <c r="N73" s="5"/>
    </row>
    <row r="74" spans="2:16" x14ac:dyDescent="0.25">
      <c r="H74" t="s">
        <v>86</v>
      </c>
      <c r="K74" s="5">
        <f>J72+K72+K73</f>
        <v>60480000</v>
      </c>
      <c r="N74" s="5">
        <f>M72+N72+N73</f>
        <v>41472000</v>
      </c>
    </row>
    <row r="76" spans="2:16" x14ac:dyDescent="0.25">
      <c r="E76" s="42"/>
      <c r="F76" s="42"/>
      <c r="G76" s="42"/>
      <c r="H76" s="42" t="s">
        <v>116</v>
      </c>
      <c r="I76" s="42"/>
      <c r="J76" s="43">
        <f>J71+J58</f>
        <v>18480</v>
      </c>
      <c r="K76" s="43">
        <f>K71+K58</f>
        <v>100800000</v>
      </c>
      <c r="L76" t="s">
        <v>117</v>
      </c>
      <c r="M76" s="5">
        <f>M58+M71</f>
        <v>5760</v>
      </c>
      <c r="N76" s="5">
        <f>N58+N71</f>
        <v>48960000</v>
      </c>
    </row>
    <row r="78" spans="2:16" x14ac:dyDescent="0.25">
      <c r="G78" t="s">
        <v>115</v>
      </c>
      <c r="H78" t="s">
        <v>112</v>
      </c>
    </row>
    <row r="79" spans="2:16" x14ac:dyDescent="0.25">
      <c r="F79" t="s">
        <v>101</v>
      </c>
      <c r="G79" s="2">
        <f>J76*variables!$C$11*variables!$C$12</f>
        <v>49896000</v>
      </c>
      <c r="H79" s="10">
        <f>M76*variables!$D$11*variables!$C$12</f>
        <v>31104000</v>
      </c>
      <c r="I79" s="49">
        <f>SUM(G79:H79)</f>
        <v>81000000</v>
      </c>
    </row>
    <row r="80" spans="2:16" x14ac:dyDescent="0.25">
      <c r="F80" t="s">
        <v>98</v>
      </c>
      <c r="G80" s="10">
        <f>K76*variables!$C$9</f>
        <v>10080000</v>
      </c>
      <c r="H80" s="10">
        <f>N76*variables!$C$9</f>
        <v>4896000</v>
      </c>
      <c r="I80" s="49">
        <f t="shared" ref="I80:I82" si="51">SUM(G80:H80)</f>
        <v>14976000</v>
      </c>
    </row>
    <row r="81" spans="2:14" x14ac:dyDescent="0.25">
      <c r="F81" t="s">
        <v>99</v>
      </c>
      <c r="G81" s="10">
        <f>J76*variables!$C$13*variables!$C$10</f>
        <v>3234000</v>
      </c>
      <c r="H81" s="10">
        <f>M76*variables!$C$13*variables!$C$10</f>
        <v>1007999.9999999999</v>
      </c>
      <c r="I81" s="49">
        <f t="shared" si="51"/>
        <v>4242000</v>
      </c>
    </row>
    <row r="82" spans="2:14" x14ac:dyDescent="0.25">
      <c r="F82" t="s">
        <v>102</v>
      </c>
      <c r="G82" s="10">
        <f>J76*variables!$C$14</f>
        <v>27720000</v>
      </c>
      <c r="H82" s="10">
        <f>M76*variables!$D$14</f>
        <v>37440000</v>
      </c>
      <c r="I82" s="49">
        <f t="shared" si="51"/>
        <v>65160000</v>
      </c>
    </row>
    <row r="87" spans="2:14" x14ac:dyDescent="0.25">
      <c r="B87" s="40"/>
      <c r="C87" s="40"/>
      <c r="D87" s="41" t="s">
        <v>2</v>
      </c>
      <c r="E87" s="40"/>
      <c r="F87" s="40"/>
      <c r="G87" s="41" t="s">
        <v>3</v>
      </c>
      <c r="H87" s="40"/>
      <c r="I87" s="40"/>
      <c r="J87" s="41" t="s">
        <v>108</v>
      </c>
      <c r="K87" s="40"/>
      <c r="L87" s="46"/>
      <c r="M87" s="47" t="s">
        <v>109</v>
      </c>
      <c r="N87" s="46"/>
    </row>
    <row r="88" spans="2:14" x14ac:dyDescent="0.25">
      <c r="B88" s="41" t="s">
        <v>1</v>
      </c>
      <c r="C88" s="41" t="s">
        <v>0</v>
      </c>
      <c r="D88" s="41" t="s">
        <v>4</v>
      </c>
      <c r="E88" s="41" t="s">
        <v>5</v>
      </c>
      <c r="F88" s="41" t="s">
        <v>0</v>
      </c>
      <c r="G88" s="41" t="s">
        <v>4</v>
      </c>
      <c r="H88" s="41" t="s">
        <v>5</v>
      </c>
      <c r="I88" s="41" t="s">
        <v>0</v>
      </c>
      <c r="J88" s="41" t="s">
        <v>4</v>
      </c>
      <c r="K88" s="41" t="s">
        <v>5</v>
      </c>
      <c r="L88" s="41" t="s">
        <v>0</v>
      </c>
      <c r="M88" s="41" t="s">
        <v>4</v>
      </c>
      <c r="N88" s="41" t="s">
        <v>5</v>
      </c>
    </row>
    <row r="89" spans="2:14" x14ac:dyDescent="0.25">
      <c r="B89" s="1">
        <v>1</v>
      </c>
      <c r="C89" t="s">
        <v>7</v>
      </c>
      <c r="D89" s="3">
        <v>2.5</v>
      </c>
      <c r="E89" s="4">
        <v>24000</v>
      </c>
      <c r="F89" s="4" t="s">
        <v>8</v>
      </c>
      <c r="G89" s="3">
        <v>2.5</v>
      </c>
      <c r="H89" s="4">
        <v>24000</v>
      </c>
      <c r="I89" s="4" t="s">
        <v>8</v>
      </c>
      <c r="J89" s="3">
        <v>2.5</v>
      </c>
      <c r="K89" s="4">
        <v>24000</v>
      </c>
      <c r="L89" s="4" t="s">
        <v>110</v>
      </c>
      <c r="M89" s="3">
        <v>12</v>
      </c>
      <c r="N89" s="4">
        <v>102000</v>
      </c>
    </row>
    <row r="90" spans="2:14" x14ac:dyDescent="0.25">
      <c r="B90" s="1">
        <v>2</v>
      </c>
      <c r="C90" t="s">
        <v>11</v>
      </c>
      <c r="D90" s="3">
        <v>2.5</v>
      </c>
      <c r="E90" s="4"/>
      <c r="F90" s="4" t="s">
        <v>12</v>
      </c>
      <c r="G90" s="3">
        <v>2.5</v>
      </c>
      <c r="H90" s="4"/>
      <c r="I90" s="4" t="s">
        <v>12</v>
      </c>
      <c r="J90" s="3">
        <v>2.5</v>
      </c>
      <c r="K90" s="4">
        <v>24000</v>
      </c>
      <c r="L90" s="4" t="s">
        <v>111</v>
      </c>
      <c r="M90" s="3">
        <v>12</v>
      </c>
      <c r="N90" s="4">
        <v>102000</v>
      </c>
    </row>
    <row r="91" spans="2:14" x14ac:dyDescent="0.25">
      <c r="B91" s="1">
        <v>3</v>
      </c>
      <c r="C91" t="s">
        <v>9</v>
      </c>
      <c r="D91" s="4">
        <v>3</v>
      </c>
      <c r="E91" s="4">
        <v>24000</v>
      </c>
      <c r="F91" s="4" t="s">
        <v>8</v>
      </c>
      <c r="G91" s="3">
        <v>2.5</v>
      </c>
      <c r="H91" s="4">
        <v>24000</v>
      </c>
      <c r="I91" s="4" t="s">
        <v>8</v>
      </c>
      <c r="J91" s="3">
        <v>2.5</v>
      </c>
      <c r="K91" s="4">
        <v>24000</v>
      </c>
      <c r="L91" s="4" t="s">
        <v>111</v>
      </c>
      <c r="M91" s="3">
        <v>12</v>
      </c>
      <c r="N91" s="4">
        <v>102000</v>
      </c>
    </row>
    <row r="92" spans="2:14" x14ac:dyDescent="0.25">
      <c r="B92" s="1">
        <v>4</v>
      </c>
      <c r="C92" s="4" t="s">
        <v>10</v>
      </c>
      <c r="D92" s="4">
        <v>3</v>
      </c>
      <c r="E92" s="4">
        <v>12000</v>
      </c>
      <c r="F92" s="4" t="s">
        <v>12</v>
      </c>
      <c r="G92" s="3">
        <v>2.5</v>
      </c>
      <c r="H92" s="4"/>
      <c r="I92" s="4" t="s">
        <v>12</v>
      </c>
      <c r="J92" s="3">
        <v>2.5</v>
      </c>
      <c r="K92" s="4">
        <v>24000</v>
      </c>
      <c r="L92" s="4" t="s">
        <v>111</v>
      </c>
      <c r="M92" s="3">
        <v>12</v>
      </c>
      <c r="N92" s="4">
        <v>102000</v>
      </c>
    </row>
    <row r="93" spans="2:14" x14ac:dyDescent="0.25">
      <c r="C93" t="s">
        <v>9</v>
      </c>
      <c r="D93" s="4">
        <v>3</v>
      </c>
      <c r="E93" s="4">
        <v>24000</v>
      </c>
      <c r="F93" s="4" t="s">
        <v>8</v>
      </c>
      <c r="G93" s="3">
        <v>2.5</v>
      </c>
      <c r="H93" s="4"/>
      <c r="I93" t="s">
        <v>9</v>
      </c>
      <c r="J93" s="4">
        <v>3</v>
      </c>
      <c r="K93" s="4">
        <v>24000</v>
      </c>
      <c r="L93" s="4" t="s">
        <v>111</v>
      </c>
      <c r="M93" s="3">
        <v>12</v>
      </c>
      <c r="N93" s="4">
        <v>102000</v>
      </c>
    </row>
    <row r="94" spans="2:14" x14ac:dyDescent="0.25">
      <c r="C94" s="4" t="s">
        <v>10</v>
      </c>
      <c r="D94" s="4">
        <v>3</v>
      </c>
      <c r="E94" s="4">
        <v>12000</v>
      </c>
      <c r="F94" s="4" t="s">
        <v>12</v>
      </c>
      <c r="G94" s="3">
        <v>2.5</v>
      </c>
      <c r="H94" s="4"/>
      <c r="I94" s="4" t="s">
        <v>10</v>
      </c>
      <c r="J94" s="4">
        <v>3</v>
      </c>
      <c r="K94" s="4">
        <v>12000</v>
      </c>
      <c r="L94" s="4"/>
      <c r="M94" s="4"/>
      <c r="N94" s="4"/>
    </row>
    <row r="95" spans="2:14" x14ac:dyDescent="0.25">
      <c r="B95" s="44" t="s">
        <v>6</v>
      </c>
      <c r="C95" s="44"/>
      <c r="D95" s="45">
        <f>SUM(D89:D94)</f>
        <v>17</v>
      </c>
      <c r="E95" s="45">
        <f t="shared" ref="E95" si="52">SUM(E89:E94)</f>
        <v>96000</v>
      </c>
      <c r="F95" s="45"/>
      <c r="G95" s="45">
        <f t="shared" ref="G95" si="53">SUM(G89:G94)</f>
        <v>15</v>
      </c>
      <c r="H95" s="45">
        <f t="shared" ref="H95" si="54">SUM(H89:H94)</f>
        <v>48000</v>
      </c>
      <c r="I95" s="45"/>
      <c r="J95" s="45">
        <f t="shared" ref="J95" si="55">SUM(J89:J94)</f>
        <v>16</v>
      </c>
      <c r="K95" s="45">
        <f t="shared" ref="K95" si="56">SUM(K89:K94)</f>
        <v>132000</v>
      </c>
      <c r="L95" s="48"/>
      <c r="M95" s="48">
        <f t="shared" ref="M95" si="57">SUM(M89:M94)</f>
        <v>60</v>
      </c>
      <c r="N95" s="48">
        <f t="shared" ref="N95" si="58">SUM(N89:N94)</f>
        <v>510000</v>
      </c>
    </row>
    <row r="96" spans="2:14" x14ac:dyDescent="0.25">
      <c r="H96" t="s">
        <v>13</v>
      </c>
      <c r="I96">
        <v>1</v>
      </c>
      <c r="J96" s="5">
        <f>D95+G95+J95</f>
        <v>48</v>
      </c>
      <c r="K96" s="5">
        <f>E95+H95+K95</f>
        <v>276000</v>
      </c>
      <c r="L96">
        <v>1</v>
      </c>
      <c r="M96" s="5">
        <f>M95*I96</f>
        <v>60</v>
      </c>
      <c r="N96" s="5">
        <f>N95*L96</f>
        <v>510000</v>
      </c>
    </row>
    <row r="97" spans="2:14" x14ac:dyDescent="0.25">
      <c r="H97" t="s">
        <v>14</v>
      </c>
      <c r="I97">
        <v>7</v>
      </c>
      <c r="J97" s="5">
        <f>J96*I97</f>
        <v>336</v>
      </c>
      <c r="K97" s="5">
        <f>K96*I97</f>
        <v>1932000</v>
      </c>
      <c r="L97">
        <v>2</v>
      </c>
      <c r="M97" s="5">
        <f>M96*L97</f>
        <v>120</v>
      </c>
      <c r="N97" s="5">
        <f>N96*L97</f>
        <v>1020000</v>
      </c>
    </row>
    <row r="98" spans="2:14" x14ac:dyDescent="0.25">
      <c r="H98" t="s">
        <v>15</v>
      </c>
      <c r="I98">
        <v>4</v>
      </c>
      <c r="J98" s="5">
        <f t="shared" ref="J98:J99" si="59">J97*I98</f>
        <v>1344</v>
      </c>
      <c r="K98" s="5">
        <f t="shared" ref="K98:K99" si="60">K97*I98</f>
        <v>7728000</v>
      </c>
      <c r="L98">
        <v>4</v>
      </c>
      <c r="M98" s="5">
        <f t="shared" ref="M98:M99" si="61">M97*L98</f>
        <v>480</v>
      </c>
      <c r="N98" s="5">
        <f>N97*L98</f>
        <v>4080000</v>
      </c>
    </row>
    <row r="99" spans="2:14" x14ac:dyDescent="0.25">
      <c r="H99" t="s">
        <v>16</v>
      </c>
      <c r="I99">
        <v>12</v>
      </c>
      <c r="J99" s="5">
        <f t="shared" si="59"/>
        <v>16128</v>
      </c>
      <c r="K99" s="5">
        <f t="shared" si="60"/>
        <v>92736000</v>
      </c>
      <c r="L99">
        <v>12</v>
      </c>
      <c r="M99" s="5">
        <f t="shared" si="61"/>
        <v>5760</v>
      </c>
      <c r="N99" s="5">
        <f>N98*L99</f>
        <v>48960000</v>
      </c>
    </row>
    <row r="100" spans="2:14" x14ac:dyDescent="0.25">
      <c r="H100" t="s">
        <v>87</v>
      </c>
      <c r="J100" s="10">
        <f>J99*variables!$C$3</f>
        <v>145152000</v>
      </c>
      <c r="K100" s="5">
        <f>K99*variables!$C$5</f>
        <v>278208000</v>
      </c>
      <c r="M100" s="5">
        <f>M99*variables!$D$3</f>
        <v>103680000</v>
      </c>
      <c r="N100" s="5">
        <f>N99*variables!$C$5</f>
        <v>146880000</v>
      </c>
    </row>
    <row r="101" spans="2:14" x14ac:dyDescent="0.25">
      <c r="H101" t="s">
        <v>78</v>
      </c>
      <c r="J101" s="10">
        <f>J100/K99</f>
        <v>1.5652173913043479</v>
      </c>
      <c r="K101" s="5">
        <f>K99*variables!$C$6</f>
        <v>185472000</v>
      </c>
      <c r="M101" s="10">
        <f>M100/N99</f>
        <v>2.1176470588235294</v>
      </c>
      <c r="N101" s="5">
        <f>N99*variables!$D$6</f>
        <v>85680000</v>
      </c>
    </row>
    <row r="102" spans="2:14" x14ac:dyDescent="0.25">
      <c r="H102" t="s">
        <v>86</v>
      </c>
      <c r="K102" s="5">
        <f>J100+K100+K101</f>
        <v>608832000</v>
      </c>
      <c r="N102" s="5">
        <f>M100+N100+N101</f>
        <v>336240000</v>
      </c>
    </row>
    <row r="104" spans="2:14" x14ac:dyDescent="0.25">
      <c r="B104" s="41" t="s">
        <v>1</v>
      </c>
      <c r="C104" s="41" t="s">
        <v>0</v>
      </c>
      <c r="D104" s="41" t="s">
        <v>4</v>
      </c>
      <c r="E104" s="41" t="s">
        <v>5</v>
      </c>
      <c r="F104" s="41" t="s">
        <v>0</v>
      </c>
      <c r="G104" s="41" t="s">
        <v>4</v>
      </c>
      <c r="H104" s="41" t="s">
        <v>5</v>
      </c>
      <c r="I104" s="41" t="s">
        <v>0</v>
      </c>
      <c r="J104" s="41" t="s">
        <v>4</v>
      </c>
      <c r="K104" s="41" t="s">
        <v>5</v>
      </c>
      <c r="L104" s="40"/>
      <c r="M104" s="40"/>
      <c r="N104" s="40"/>
    </row>
    <row r="105" spans="2:14" x14ac:dyDescent="0.25">
      <c r="B105" s="1">
        <v>5</v>
      </c>
      <c r="C105" t="s">
        <v>9</v>
      </c>
      <c r="D105" s="4">
        <v>3</v>
      </c>
      <c r="E105" s="4">
        <v>24000</v>
      </c>
      <c r="F105" t="s">
        <v>9</v>
      </c>
      <c r="G105" s="4">
        <v>3</v>
      </c>
      <c r="H105" s="4">
        <v>24000</v>
      </c>
      <c r="I105" t="s">
        <v>9</v>
      </c>
      <c r="J105" s="4">
        <v>3</v>
      </c>
      <c r="K105" s="4">
        <v>24000</v>
      </c>
      <c r="L105" s="4" t="s">
        <v>110</v>
      </c>
      <c r="M105" s="3">
        <v>12</v>
      </c>
      <c r="N105" s="4">
        <v>102000</v>
      </c>
    </row>
    <row r="106" spans="2:14" x14ac:dyDescent="0.25">
      <c r="B106" s="1">
        <v>6</v>
      </c>
      <c r="C106" s="4" t="s">
        <v>10</v>
      </c>
      <c r="D106" s="4">
        <v>3</v>
      </c>
      <c r="E106" s="4">
        <v>12000</v>
      </c>
      <c r="F106" s="4" t="s">
        <v>10</v>
      </c>
      <c r="G106" s="4">
        <v>3</v>
      </c>
      <c r="H106" s="4">
        <v>12000</v>
      </c>
      <c r="I106" s="4" t="s">
        <v>10</v>
      </c>
      <c r="J106" s="4">
        <v>3</v>
      </c>
      <c r="K106" s="4">
        <v>12000</v>
      </c>
      <c r="L106" s="4" t="s">
        <v>111</v>
      </c>
      <c r="M106" s="3">
        <v>12</v>
      </c>
      <c r="N106" s="4">
        <v>102000</v>
      </c>
    </row>
    <row r="107" spans="2:14" x14ac:dyDescent="0.25">
      <c r="B107" s="1"/>
      <c r="C107" t="s">
        <v>9</v>
      </c>
      <c r="D107" s="4">
        <v>3</v>
      </c>
      <c r="E107" s="4">
        <v>24000</v>
      </c>
      <c r="F107" t="s">
        <v>9</v>
      </c>
      <c r="G107" s="4">
        <v>3</v>
      </c>
      <c r="H107" s="4">
        <v>24000</v>
      </c>
      <c r="I107" s="4"/>
      <c r="J107" s="4"/>
      <c r="K107" s="4"/>
      <c r="L107" s="4" t="s">
        <v>110</v>
      </c>
      <c r="M107" s="3">
        <v>12</v>
      </c>
      <c r="N107" s="4">
        <v>102000</v>
      </c>
    </row>
    <row r="108" spans="2:14" x14ac:dyDescent="0.25">
      <c r="B108" s="1"/>
      <c r="C108" s="4" t="s">
        <v>10</v>
      </c>
      <c r="D108" s="4">
        <v>3</v>
      </c>
      <c r="E108" s="4">
        <v>12000</v>
      </c>
      <c r="F108" s="4" t="s">
        <v>10</v>
      </c>
      <c r="G108" s="4">
        <v>3</v>
      </c>
      <c r="H108" s="4">
        <v>12000</v>
      </c>
      <c r="I108" s="4"/>
      <c r="J108" s="4"/>
      <c r="K108" s="4"/>
      <c r="L108" s="4" t="s">
        <v>111</v>
      </c>
      <c r="M108" s="3">
        <v>12</v>
      </c>
      <c r="N108" s="4">
        <v>102000</v>
      </c>
    </row>
    <row r="110" spans="2:14" x14ac:dyDescent="0.25">
      <c r="B110" s="44" t="s">
        <v>6</v>
      </c>
      <c r="C110" s="44"/>
      <c r="D110" s="45">
        <f>SUM(D105:D109)</f>
        <v>12</v>
      </c>
      <c r="E110" s="45">
        <f t="shared" ref="E110" si="62">SUM(E105:E109)</f>
        <v>72000</v>
      </c>
      <c r="F110" s="45">
        <f t="shared" ref="F110" si="63">SUM(F105:F109)</f>
        <v>0</v>
      </c>
      <c r="G110" s="45">
        <f t="shared" ref="G110" si="64">SUM(G105:G109)</f>
        <v>12</v>
      </c>
      <c r="H110" s="45">
        <f t="shared" ref="H110" si="65">SUM(H105:H109)</f>
        <v>72000</v>
      </c>
      <c r="I110" s="45"/>
      <c r="J110" s="45">
        <f t="shared" ref="J110" si="66">SUM(J105:J109)</f>
        <v>6</v>
      </c>
      <c r="K110" s="45">
        <f t="shared" ref="K110" si="67">SUM(K105:K109)</f>
        <v>36000</v>
      </c>
      <c r="L110" s="44"/>
      <c r="M110" s="50">
        <f>SUM(M105:M109)</f>
        <v>48</v>
      </c>
      <c r="N110" s="50">
        <f>SUM(N105:N109)</f>
        <v>408000</v>
      </c>
    </row>
    <row r="111" spans="2:14" x14ac:dyDescent="0.25">
      <c r="H111" t="s">
        <v>13</v>
      </c>
      <c r="I111">
        <v>1</v>
      </c>
      <c r="J111" s="5">
        <f>D110+G110+J110</f>
        <v>30</v>
      </c>
      <c r="K111" s="5">
        <f>E110+H110+K110</f>
        <v>180000</v>
      </c>
      <c r="L111">
        <v>1</v>
      </c>
      <c r="M111" s="5">
        <f>M110*I111</f>
        <v>48</v>
      </c>
      <c r="N111" s="5">
        <f>N110*L111</f>
        <v>408000</v>
      </c>
    </row>
    <row r="112" spans="2:14" x14ac:dyDescent="0.25">
      <c r="C112">
        <f>16*6</f>
        <v>96</v>
      </c>
      <c r="D112" s="5">
        <f>D95+G95+J95+J110+G110+D110</f>
        <v>78</v>
      </c>
      <c r="H112" t="s">
        <v>14</v>
      </c>
      <c r="I112">
        <v>7</v>
      </c>
      <c r="J112" s="5">
        <f>J111*I112</f>
        <v>210</v>
      </c>
      <c r="K112" s="5">
        <f>K111*I112</f>
        <v>1260000</v>
      </c>
      <c r="L112">
        <v>2</v>
      </c>
      <c r="M112" s="5">
        <f>M111*L112</f>
        <v>96</v>
      </c>
      <c r="N112" s="5">
        <f>N111*L112</f>
        <v>816000</v>
      </c>
    </row>
    <row r="113" spans="5:14" x14ac:dyDescent="0.25">
      <c r="H113" t="s">
        <v>15</v>
      </c>
      <c r="I113">
        <v>4</v>
      </c>
      <c r="J113" s="5">
        <f>J112*I113</f>
        <v>840</v>
      </c>
      <c r="K113" s="5">
        <f>K112*I113</f>
        <v>5040000</v>
      </c>
      <c r="L113">
        <v>4</v>
      </c>
      <c r="M113" s="5">
        <f t="shared" ref="M113:M114" si="68">M112*L113</f>
        <v>384</v>
      </c>
      <c r="N113" s="5">
        <f>N112*L113</f>
        <v>3264000</v>
      </c>
    </row>
    <row r="114" spans="5:14" x14ac:dyDescent="0.25">
      <c r="H114" t="s">
        <v>16</v>
      </c>
      <c r="I114">
        <v>12</v>
      </c>
      <c r="J114" s="5">
        <f>J113*I114</f>
        <v>10080</v>
      </c>
      <c r="K114" s="5">
        <f>K113*I114</f>
        <v>60480000</v>
      </c>
      <c r="L114">
        <v>12</v>
      </c>
      <c r="M114" s="5">
        <f t="shared" si="68"/>
        <v>4608</v>
      </c>
      <c r="N114" s="5">
        <f>N113*L114</f>
        <v>39168000</v>
      </c>
    </row>
    <row r="115" spans="5:14" x14ac:dyDescent="0.25">
      <c r="H115" t="s">
        <v>87</v>
      </c>
      <c r="J115" s="10">
        <f>J114*variables!$C$4</f>
        <v>100800000</v>
      </c>
      <c r="K115" s="5"/>
      <c r="M115" s="5">
        <f>M114*variables!$D$3</f>
        <v>82944000</v>
      </c>
      <c r="N115" s="5"/>
    </row>
    <row r="116" spans="5:14" x14ac:dyDescent="0.25">
      <c r="H116" t="s">
        <v>78</v>
      </c>
      <c r="I116" s="10">
        <f>J115/K114</f>
        <v>1.6666666666666667</v>
      </c>
      <c r="K116" s="5"/>
      <c r="M116" s="10">
        <f>M115/N114</f>
        <v>2.1176470588235294</v>
      </c>
      <c r="N116" s="5"/>
    </row>
    <row r="117" spans="5:14" x14ac:dyDescent="0.25">
      <c r="H117" t="s">
        <v>86</v>
      </c>
      <c r="K117" s="5">
        <f>J115+K115+K116</f>
        <v>100800000</v>
      </c>
      <c r="N117" s="5">
        <f>M115+N115+N116</f>
        <v>82944000</v>
      </c>
    </row>
    <row r="119" spans="5:14" x14ac:dyDescent="0.25">
      <c r="E119" s="42"/>
      <c r="F119" s="42"/>
      <c r="G119" s="42"/>
      <c r="H119" s="42" t="s">
        <v>116</v>
      </c>
      <c r="I119" s="42"/>
      <c r="J119" s="43">
        <f>J114+J99</f>
        <v>26208</v>
      </c>
      <c r="K119" s="43">
        <f>K114+K99</f>
        <v>153216000</v>
      </c>
      <c r="L119" t="s">
        <v>117</v>
      </c>
      <c r="M119" s="5">
        <f>M99+M114</f>
        <v>10368</v>
      </c>
      <c r="N119" s="5">
        <f>N99+N114</f>
        <v>88128000</v>
      </c>
    </row>
    <row r="121" spans="5:14" x14ac:dyDescent="0.25">
      <c r="G121" t="s">
        <v>115</v>
      </c>
      <c r="H121" t="s">
        <v>112</v>
      </c>
    </row>
    <row r="122" spans="5:14" x14ac:dyDescent="0.25">
      <c r="F122" t="s">
        <v>101</v>
      </c>
      <c r="G122" s="2">
        <f>J119*variables!$C$11*variables!$C$12</f>
        <v>70761600</v>
      </c>
      <c r="H122" s="10">
        <f>M119*variables!$D$11*variables!$C$12</f>
        <v>55987200</v>
      </c>
      <c r="I122" s="49">
        <f>SUM(G122:H122)</f>
        <v>126748800</v>
      </c>
    </row>
    <row r="123" spans="5:14" x14ac:dyDescent="0.25">
      <c r="F123" t="s">
        <v>98</v>
      </c>
      <c r="G123" s="10">
        <f>K119*variables!$C$9</f>
        <v>15321600</v>
      </c>
      <c r="H123" s="10">
        <f>N119*variables!$C$9</f>
        <v>8812800</v>
      </c>
      <c r="I123" s="49">
        <f t="shared" ref="I123:I125" si="69">SUM(G123:H123)</f>
        <v>24134400</v>
      </c>
    </row>
    <row r="124" spans="5:14" x14ac:dyDescent="0.25">
      <c r="F124" t="s">
        <v>99</v>
      </c>
      <c r="G124" s="10">
        <f>J119*variables!$C$13*variables!$C$10</f>
        <v>4586400</v>
      </c>
      <c r="H124" s="10">
        <f>M119*variables!$C$13*variables!$C$10</f>
        <v>1814400</v>
      </c>
      <c r="I124" s="49">
        <f t="shared" si="69"/>
        <v>6400800</v>
      </c>
    </row>
    <row r="125" spans="5:14" x14ac:dyDescent="0.25">
      <c r="F125" t="s">
        <v>102</v>
      </c>
      <c r="G125" s="10">
        <f>J119*variables!$C$14</f>
        <v>39312000</v>
      </c>
      <c r="H125" s="10">
        <f>M119*variables!$D$14</f>
        <v>67392000</v>
      </c>
      <c r="I125" s="49">
        <f t="shared" si="69"/>
        <v>106704000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79521-AFDB-462A-9AD7-27D5C6B2D42F}">
  <dimension ref="A2:D16"/>
  <sheetViews>
    <sheetView workbookViewId="0">
      <selection activeCell="C5" sqref="C5"/>
    </sheetView>
  </sheetViews>
  <sheetFormatPr defaultRowHeight="15" x14ac:dyDescent="0.25"/>
  <cols>
    <col min="2" max="2" width="31.28515625" bestFit="1" customWidth="1"/>
  </cols>
  <sheetData>
    <row r="2" spans="1:4" x14ac:dyDescent="0.25">
      <c r="C2" t="s">
        <v>113</v>
      </c>
      <c r="D2" t="s">
        <v>114</v>
      </c>
    </row>
    <row r="3" spans="1:4" x14ac:dyDescent="0.25">
      <c r="B3" t="s">
        <v>121</v>
      </c>
      <c r="C3">
        <v>9000</v>
      </c>
      <c r="D3">
        <v>18000</v>
      </c>
    </row>
    <row r="4" spans="1:4" x14ac:dyDescent="0.25">
      <c r="B4" t="s">
        <v>120</v>
      </c>
      <c r="C4">
        <v>10000</v>
      </c>
      <c r="D4">
        <v>20000</v>
      </c>
    </row>
    <row r="5" spans="1:4" x14ac:dyDescent="0.25">
      <c r="B5" t="s">
        <v>75</v>
      </c>
      <c r="C5">
        <v>3</v>
      </c>
    </row>
    <row r="6" spans="1:4" x14ac:dyDescent="0.25">
      <c r="B6" t="s">
        <v>76</v>
      </c>
      <c r="C6">
        <v>2</v>
      </c>
      <c r="D6">
        <v>1.75</v>
      </c>
    </row>
    <row r="7" spans="1:4" x14ac:dyDescent="0.25">
      <c r="B7" t="s">
        <v>77</v>
      </c>
      <c r="C7">
        <f>SUM(C5:C6)</f>
        <v>5</v>
      </c>
    </row>
    <row r="8" spans="1:4" x14ac:dyDescent="0.25">
      <c r="B8" t="s">
        <v>88</v>
      </c>
      <c r="C8" s="38">
        <v>0.25</v>
      </c>
    </row>
    <row r="9" spans="1:4" x14ac:dyDescent="0.25">
      <c r="B9" t="s">
        <v>98</v>
      </c>
      <c r="C9">
        <v>0.1</v>
      </c>
    </row>
    <row r="10" spans="1:4" x14ac:dyDescent="0.25">
      <c r="B10" t="s">
        <v>99</v>
      </c>
      <c r="C10">
        <v>0.35</v>
      </c>
    </row>
    <row r="11" spans="1:4" x14ac:dyDescent="0.25">
      <c r="B11" t="s">
        <v>100</v>
      </c>
      <c r="C11">
        <v>900</v>
      </c>
      <c r="D11">
        <v>1800</v>
      </c>
    </row>
    <row r="12" spans="1:4" x14ac:dyDescent="0.25">
      <c r="B12" t="s">
        <v>101</v>
      </c>
      <c r="C12">
        <v>3</v>
      </c>
    </row>
    <row r="13" spans="1:4" x14ac:dyDescent="0.25">
      <c r="B13" t="s">
        <v>103</v>
      </c>
      <c r="C13">
        <v>500</v>
      </c>
    </row>
    <row r="14" spans="1:4" x14ac:dyDescent="0.25">
      <c r="B14" t="s">
        <v>104</v>
      </c>
      <c r="C14">
        <v>1500</v>
      </c>
      <c r="D14">
        <v>6500</v>
      </c>
    </row>
    <row r="16" spans="1:4" x14ac:dyDescent="0.25">
      <c r="A16" t="s">
        <v>112</v>
      </c>
      <c r="B16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187F6-E285-449C-9FDA-263152954F66}">
  <sheetPr>
    <tabColor rgb="FFFFFF00"/>
  </sheetPr>
  <dimension ref="A1:BS90"/>
  <sheetViews>
    <sheetView tabSelected="1" topLeftCell="AR1" zoomScale="80" zoomScaleNormal="80" workbookViewId="0">
      <selection activeCell="BJ12" sqref="BJ12"/>
    </sheetView>
  </sheetViews>
  <sheetFormatPr defaultRowHeight="15" x14ac:dyDescent="0.25"/>
  <cols>
    <col min="1" max="1" width="2" bestFit="1" customWidth="1"/>
    <col min="2" max="2" width="5.140625" bestFit="1" customWidth="1"/>
    <col min="3" max="3" width="7.7109375" bestFit="1" customWidth="1"/>
    <col min="4" max="4" width="8.7109375" bestFit="1" customWidth="1"/>
    <col min="5" max="5" width="7.42578125" bestFit="1" customWidth="1"/>
    <col min="6" max="7" width="7.42578125" customWidth="1"/>
    <col min="8" max="8" width="7.85546875" bestFit="1" customWidth="1"/>
    <col min="9" max="9" width="11.28515625" bestFit="1" customWidth="1"/>
    <col min="10" max="10" width="9.5703125" bestFit="1" customWidth="1"/>
    <col min="11" max="11" width="7.42578125" bestFit="1" customWidth="1"/>
    <col min="12" max="12" width="1.140625" customWidth="1"/>
    <col min="13" max="13" width="13.140625" bestFit="1" customWidth="1"/>
    <col min="14" max="14" width="6.42578125" bestFit="1" customWidth="1"/>
    <col min="15" max="15" width="11.28515625" bestFit="1" customWidth="1"/>
    <col min="16" max="16" width="5" bestFit="1" customWidth="1"/>
    <col min="17" max="17" width="9.5703125" bestFit="1" customWidth="1"/>
    <col min="18" max="18" width="5" bestFit="1" customWidth="1"/>
    <col min="19" max="19" width="11.28515625" bestFit="1" customWidth="1"/>
    <col min="20" max="20" width="4.42578125" bestFit="1" customWidth="1"/>
    <col min="21" max="21" width="11.28515625" bestFit="1" customWidth="1"/>
    <col min="22" max="22" width="5" bestFit="1" customWidth="1"/>
    <col min="23" max="23" width="9.5703125" bestFit="1" customWidth="1"/>
    <col min="24" max="24" width="5" bestFit="1" customWidth="1"/>
    <col min="25" max="25" width="9.5703125" bestFit="1" customWidth="1"/>
    <col min="26" max="26" width="5.140625" bestFit="1" customWidth="1"/>
    <col min="27" max="27" width="1.42578125" customWidth="1"/>
    <col min="28" max="28" width="13.5703125" bestFit="1" customWidth="1"/>
    <col min="29" max="29" width="5" bestFit="1" customWidth="1"/>
    <col min="30" max="30" width="12.28515625" bestFit="1" customWidth="1"/>
    <col min="31" max="31" width="5" bestFit="1" customWidth="1"/>
    <col min="32" max="32" width="9.5703125" bestFit="1" customWidth="1"/>
    <col min="33" max="33" width="5" bestFit="1" customWidth="1"/>
    <col min="34" max="34" width="9.5703125" bestFit="1" customWidth="1"/>
    <col min="35" max="35" width="5" bestFit="1" customWidth="1"/>
    <col min="36" max="36" width="9.5703125" bestFit="1" customWidth="1"/>
    <col min="37" max="37" width="5" bestFit="1" customWidth="1"/>
    <col min="38" max="38" width="9.5703125" bestFit="1" customWidth="1"/>
    <col min="39" max="39" width="5" bestFit="1" customWidth="1"/>
    <col min="40" max="40" width="9.5703125" bestFit="1" customWidth="1"/>
    <col min="41" max="41" width="9.5703125" style="1" customWidth="1"/>
    <col min="42" max="42" width="1" customWidth="1"/>
    <col min="43" max="43" width="7.42578125" bestFit="1" customWidth="1"/>
    <col min="44" max="44" width="12.28515625" bestFit="1" customWidth="1"/>
    <col min="45" max="45" width="4.5703125" style="1" bestFit="1" customWidth="1"/>
    <col min="46" max="46" width="11.28515625" bestFit="1" customWidth="1"/>
    <col min="47" max="47" width="17.28515625" bestFit="1" customWidth="1"/>
    <col min="48" max="48" width="16.28515625" bestFit="1" customWidth="1"/>
    <col min="49" max="50" width="15.140625" bestFit="1" customWidth="1"/>
    <col min="51" max="51" width="16.28515625" bestFit="1" customWidth="1"/>
    <col min="52" max="52" width="15.140625" bestFit="1" customWidth="1"/>
    <col min="53" max="54" width="16.28515625" bestFit="1" customWidth="1"/>
    <col min="55" max="55" width="15.140625" customWidth="1"/>
    <col min="56" max="56" width="16.28515625" bestFit="1" customWidth="1"/>
    <col min="57" max="57" width="17.85546875" bestFit="1" customWidth="1"/>
    <col min="58" max="58" width="1.42578125" customWidth="1"/>
    <col min="59" max="59" width="7.42578125" bestFit="1" customWidth="1"/>
    <col min="60" max="60" width="12" bestFit="1" customWidth="1"/>
    <col min="61" max="61" width="4.5703125" bestFit="1" customWidth="1"/>
    <col min="62" max="62" width="11.28515625" bestFit="1" customWidth="1"/>
    <col min="63" max="64" width="16.28515625" bestFit="1" customWidth="1"/>
    <col min="65" max="65" width="13.42578125" bestFit="1" customWidth="1"/>
    <col min="66" max="66" width="13.85546875" bestFit="1" customWidth="1"/>
    <col min="67" max="67" width="17.28515625" bestFit="1" customWidth="1"/>
    <col min="68" max="68" width="15.140625" bestFit="1" customWidth="1"/>
    <col min="69" max="69" width="16.28515625" bestFit="1" customWidth="1"/>
    <col min="70" max="71" width="15.140625" bestFit="1" customWidth="1"/>
  </cols>
  <sheetData>
    <row r="1" spans="1:71" x14ac:dyDescent="0.25">
      <c r="L1" s="98"/>
      <c r="M1" s="130" t="s">
        <v>132</v>
      </c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60"/>
      <c r="AA1" s="99"/>
      <c r="AB1" s="128" t="s">
        <v>133</v>
      </c>
      <c r="AC1" s="128"/>
      <c r="AD1" s="128"/>
      <c r="AE1" s="128"/>
      <c r="AF1" s="128"/>
      <c r="AG1" s="128"/>
      <c r="AH1" s="128"/>
      <c r="AI1" s="128"/>
      <c r="AJ1" s="128"/>
      <c r="AK1" s="128"/>
      <c r="AL1" s="128"/>
      <c r="AM1" s="128"/>
      <c r="AN1" s="128"/>
      <c r="AO1" s="128"/>
      <c r="AP1" s="95"/>
      <c r="AQ1" s="129" t="s">
        <v>132</v>
      </c>
      <c r="AR1" s="129"/>
      <c r="AS1" s="129"/>
      <c r="AT1" s="129"/>
      <c r="AU1" s="129"/>
      <c r="AV1" s="129"/>
      <c r="AW1" s="129"/>
      <c r="AX1" s="129"/>
      <c r="AY1" s="129"/>
      <c r="AZ1" s="129"/>
      <c r="BA1" s="129"/>
      <c r="BB1" s="129"/>
      <c r="BC1" s="129"/>
      <c r="BD1" s="129"/>
      <c r="BE1" s="129"/>
      <c r="BF1" s="98"/>
      <c r="BG1" s="128" t="s">
        <v>132</v>
      </c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</row>
    <row r="2" spans="1:71" x14ac:dyDescent="0.25">
      <c r="B2" s="73"/>
      <c r="C2" s="73"/>
      <c r="D2" s="73"/>
      <c r="E2" s="73" t="s">
        <v>137</v>
      </c>
      <c r="F2" s="73"/>
      <c r="G2" s="73"/>
      <c r="H2" s="73"/>
      <c r="I2" s="73"/>
      <c r="J2" s="73"/>
      <c r="K2" s="73" t="s">
        <v>135</v>
      </c>
      <c r="L2" s="103"/>
      <c r="M2" s="131" t="s">
        <v>149</v>
      </c>
      <c r="N2" s="130" t="s">
        <v>124</v>
      </c>
      <c r="O2" s="130"/>
      <c r="P2" s="130" t="s">
        <v>125</v>
      </c>
      <c r="Q2" s="130"/>
      <c r="R2" s="130" t="s">
        <v>126</v>
      </c>
      <c r="S2" s="130"/>
      <c r="T2" s="130" t="s">
        <v>127</v>
      </c>
      <c r="U2" s="130"/>
      <c r="V2" s="130" t="s">
        <v>128</v>
      </c>
      <c r="W2" s="130"/>
      <c r="X2" s="130" t="s">
        <v>129</v>
      </c>
      <c r="Y2" s="130"/>
      <c r="Z2" s="131" t="s">
        <v>153</v>
      </c>
      <c r="AA2" s="100"/>
      <c r="AB2" s="132" t="s">
        <v>150</v>
      </c>
      <c r="AC2" s="128" t="s">
        <v>124</v>
      </c>
      <c r="AD2" s="128"/>
      <c r="AE2" s="128" t="s">
        <v>125</v>
      </c>
      <c r="AF2" s="128"/>
      <c r="AG2" s="128" t="s">
        <v>126</v>
      </c>
      <c r="AH2" s="128"/>
      <c r="AI2" s="128" t="s">
        <v>127</v>
      </c>
      <c r="AJ2" s="128"/>
      <c r="AK2" s="128" t="s">
        <v>128</v>
      </c>
      <c r="AL2" s="128"/>
      <c r="AM2" s="128" t="s">
        <v>129</v>
      </c>
      <c r="AN2" s="128"/>
      <c r="AO2" s="88"/>
      <c r="AP2" s="95"/>
      <c r="AQ2" s="129" t="s">
        <v>139</v>
      </c>
      <c r="AR2" s="129"/>
      <c r="AS2" s="129" t="s">
        <v>138</v>
      </c>
      <c r="AT2" s="129"/>
      <c r="AU2" s="129"/>
      <c r="AV2" s="129"/>
      <c r="AW2" s="129"/>
      <c r="AX2" s="129"/>
      <c r="AY2" s="129"/>
      <c r="AZ2" s="129"/>
      <c r="BA2" s="129"/>
      <c r="BB2" s="129"/>
      <c r="BC2" s="80"/>
      <c r="BD2" s="80" t="s">
        <v>142</v>
      </c>
      <c r="BE2" s="81" t="s">
        <v>143</v>
      </c>
      <c r="BF2" s="98"/>
      <c r="BG2" s="128" t="s">
        <v>139</v>
      </c>
      <c r="BH2" s="128"/>
      <c r="BI2" s="128" t="s">
        <v>138</v>
      </c>
      <c r="BJ2" s="128"/>
      <c r="BK2" s="128"/>
      <c r="BL2" s="128"/>
      <c r="BM2" s="128"/>
      <c r="BN2" s="128"/>
      <c r="BO2" s="128"/>
      <c r="BP2" s="128"/>
      <c r="BQ2" s="128"/>
      <c r="BR2" s="128"/>
      <c r="BS2" s="88"/>
    </row>
    <row r="3" spans="1:71" x14ac:dyDescent="0.25">
      <c r="B3" s="73"/>
      <c r="C3" s="73" t="s">
        <v>154</v>
      </c>
      <c r="D3" s="73" t="s">
        <v>155</v>
      </c>
      <c r="E3" s="73" t="s">
        <v>134</v>
      </c>
      <c r="F3" s="73" t="s">
        <v>146</v>
      </c>
      <c r="G3" s="73" t="s">
        <v>147</v>
      </c>
      <c r="H3" s="73" t="s">
        <v>148</v>
      </c>
      <c r="I3" s="73" t="s">
        <v>151</v>
      </c>
      <c r="J3" s="73" t="s">
        <v>152</v>
      </c>
      <c r="K3" s="73" t="s">
        <v>136</v>
      </c>
      <c r="L3" s="103"/>
      <c r="M3" s="131"/>
      <c r="N3" s="60" t="s">
        <v>130</v>
      </c>
      <c r="O3" s="60" t="s">
        <v>131</v>
      </c>
      <c r="P3" s="60" t="s">
        <v>130</v>
      </c>
      <c r="Q3" s="60" t="s">
        <v>131</v>
      </c>
      <c r="R3" s="60" t="s">
        <v>130</v>
      </c>
      <c r="S3" s="60" t="s">
        <v>131</v>
      </c>
      <c r="T3" s="60" t="s">
        <v>130</v>
      </c>
      <c r="U3" s="60" t="s">
        <v>131</v>
      </c>
      <c r="V3" s="60" t="s">
        <v>130</v>
      </c>
      <c r="W3" s="60" t="s">
        <v>131</v>
      </c>
      <c r="X3" s="60" t="s">
        <v>130</v>
      </c>
      <c r="Y3" s="60" t="s">
        <v>131</v>
      </c>
      <c r="Z3" s="131"/>
      <c r="AA3" s="100"/>
      <c r="AB3" s="132"/>
      <c r="AC3" s="88" t="s">
        <v>130</v>
      </c>
      <c r="AD3" s="88" t="s">
        <v>131</v>
      </c>
      <c r="AE3" s="88" t="s">
        <v>130</v>
      </c>
      <c r="AF3" s="88" t="s">
        <v>131</v>
      </c>
      <c r="AG3" s="88" t="s">
        <v>130</v>
      </c>
      <c r="AH3" s="88" t="s">
        <v>131</v>
      </c>
      <c r="AI3" s="88" t="s">
        <v>130</v>
      </c>
      <c r="AJ3" s="88" t="s">
        <v>131</v>
      </c>
      <c r="AK3" s="88" t="s">
        <v>130</v>
      </c>
      <c r="AL3" s="88" t="s">
        <v>131</v>
      </c>
      <c r="AM3" s="88" t="s">
        <v>130</v>
      </c>
      <c r="AN3" s="88" t="s">
        <v>131</v>
      </c>
      <c r="AO3" s="88" t="s">
        <v>153</v>
      </c>
      <c r="AP3" s="95"/>
      <c r="AQ3" s="71" t="s">
        <v>130</v>
      </c>
      <c r="AR3" s="71" t="s">
        <v>131</v>
      </c>
      <c r="AS3" s="65" t="s">
        <v>156</v>
      </c>
      <c r="AT3" s="65" t="s">
        <v>173</v>
      </c>
      <c r="AU3" s="65" t="s">
        <v>140</v>
      </c>
      <c r="AV3" s="65" t="s">
        <v>159</v>
      </c>
      <c r="AW3" s="65" t="s">
        <v>160</v>
      </c>
      <c r="AX3" s="65" t="s">
        <v>144</v>
      </c>
      <c r="AY3" s="65" t="s">
        <v>145</v>
      </c>
      <c r="AZ3" s="65" t="s">
        <v>157</v>
      </c>
      <c r="BA3" s="65" t="s">
        <v>151</v>
      </c>
      <c r="BB3" s="65" t="s">
        <v>141</v>
      </c>
      <c r="BC3" s="65" t="s">
        <v>158</v>
      </c>
      <c r="BD3" s="59">
        <v>3</v>
      </c>
      <c r="BE3" s="59">
        <v>2</v>
      </c>
      <c r="BF3" s="98"/>
      <c r="BG3" s="89" t="s">
        <v>130</v>
      </c>
      <c r="BH3" s="89" t="s">
        <v>131</v>
      </c>
      <c r="BI3" s="68" t="s">
        <v>156</v>
      </c>
      <c r="BJ3" s="68" t="s">
        <v>174</v>
      </c>
      <c r="BK3" s="68" t="s">
        <v>140</v>
      </c>
      <c r="BL3" s="68" t="s">
        <v>159</v>
      </c>
      <c r="BM3" s="68" t="s">
        <v>160</v>
      </c>
      <c r="BN3" s="68" t="s">
        <v>144</v>
      </c>
      <c r="BO3" s="68" t="s">
        <v>145</v>
      </c>
      <c r="BP3" s="68" t="s">
        <v>157</v>
      </c>
      <c r="BQ3" s="68" t="s">
        <v>151</v>
      </c>
      <c r="BR3" s="68" t="s">
        <v>141</v>
      </c>
      <c r="BS3" s="68" t="s">
        <v>158</v>
      </c>
    </row>
    <row r="4" spans="1:71" x14ac:dyDescent="0.25">
      <c r="A4">
        <v>1</v>
      </c>
      <c r="B4" s="73" t="s">
        <v>113</v>
      </c>
      <c r="C4" s="73">
        <v>77800</v>
      </c>
      <c r="D4" s="73">
        <v>500</v>
      </c>
      <c r="E4" s="74">
        <v>900</v>
      </c>
      <c r="F4" s="75">
        <v>3</v>
      </c>
      <c r="G4" s="75">
        <v>0.1</v>
      </c>
      <c r="H4" s="75">
        <v>0.35</v>
      </c>
      <c r="I4" s="75">
        <f t="shared" ref="I4:I9" si="0">C4*0.02</f>
        <v>1556</v>
      </c>
      <c r="J4" s="75">
        <v>150</v>
      </c>
      <c r="K4" s="74">
        <v>1500</v>
      </c>
      <c r="L4" s="104"/>
      <c r="M4" s="67">
        <v>9000</v>
      </c>
      <c r="N4" s="76">
        <v>2.5</v>
      </c>
      <c r="O4" s="77">
        <v>24500</v>
      </c>
      <c r="P4" s="76">
        <v>2.5</v>
      </c>
      <c r="Q4" s="77"/>
      <c r="R4" s="59">
        <v>3</v>
      </c>
      <c r="S4" s="78">
        <v>24500</v>
      </c>
      <c r="T4" s="59">
        <v>3</v>
      </c>
      <c r="U4" s="78">
        <v>12000</v>
      </c>
      <c r="V4" s="76"/>
      <c r="W4" s="78"/>
      <c r="X4" s="76"/>
      <c r="Y4" s="78"/>
      <c r="Z4" s="79">
        <v>4</v>
      </c>
      <c r="AA4" s="101"/>
      <c r="AB4" s="70">
        <v>10000</v>
      </c>
      <c r="AC4" s="93"/>
      <c r="AD4" s="92"/>
      <c r="AE4" s="93"/>
      <c r="AF4" s="92"/>
      <c r="AG4" s="93"/>
      <c r="AH4" s="92"/>
      <c r="AI4" s="93"/>
      <c r="AJ4" s="92"/>
      <c r="AK4" s="93"/>
      <c r="AL4" s="92"/>
      <c r="AM4" s="93"/>
      <c r="AN4" s="92"/>
      <c r="AO4" s="68"/>
      <c r="AP4" s="96"/>
      <c r="AQ4" s="72">
        <f>N4+P4+R4+T4+V4+X4</f>
        <v>11</v>
      </c>
      <c r="AR4" s="72">
        <f>O4+Q4+S4+U4+W4+Y4</f>
        <v>61000</v>
      </c>
      <c r="AS4" s="65">
        <v>6</v>
      </c>
      <c r="AT4" s="66">
        <f>AQ4*AS4*4*12</f>
        <v>3168</v>
      </c>
      <c r="AU4" s="66">
        <f>AT4*M4</f>
        <v>28512000</v>
      </c>
      <c r="AV4" s="67">
        <f>AT4*K4</f>
        <v>4752000</v>
      </c>
      <c r="AW4" s="67">
        <f>Z4*J4*AS4*4*12</f>
        <v>172800</v>
      </c>
      <c r="AX4" s="66">
        <f>AT4*E4</f>
        <v>2851200</v>
      </c>
      <c r="AY4" s="67">
        <f>AX4*F4</f>
        <v>8553600</v>
      </c>
      <c r="AZ4" s="67">
        <f>AT4*D4*H4</f>
        <v>554400</v>
      </c>
      <c r="BA4" s="67">
        <f>Z4*I4*AS4*4*12</f>
        <v>1792512</v>
      </c>
      <c r="BB4" s="66">
        <f>AR4*AS4*4*12</f>
        <v>17568000</v>
      </c>
      <c r="BC4" s="67">
        <f>BB4*G4</f>
        <v>1756800</v>
      </c>
      <c r="BD4" s="66">
        <f>BB4*$BD$3</f>
        <v>52704000</v>
      </c>
      <c r="BE4" s="66">
        <f>BB4*$BE$3</f>
        <v>35136000</v>
      </c>
      <c r="BF4" s="98"/>
      <c r="BG4" s="58">
        <f>AC4+AE4+AG4+AI4+AK4+AM4</f>
        <v>0</v>
      </c>
      <c r="BH4" s="90">
        <f>AD4+AF4+AH4+AJ4+AL4+AN4</f>
        <v>0</v>
      </c>
      <c r="BI4" s="68"/>
      <c r="BJ4" s="69">
        <f t="shared" ref="BJ4:BJ10" si="1">BG4*BI4*4*12</f>
        <v>0</v>
      </c>
      <c r="BK4" s="69">
        <f>BJ4*AB4</f>
        <v>0</v>
      </c>
      <c r="BL4" s="70">
        <f>BJ4*K4</f>
        <v>0</v>
      </c>
      <c r="BM4" s="70">
        <f>BI4*AO4*4*12*J4</f>
        <v>0</v>
      </c>
      <c r="BN4" s="69">
        <f>BJ4*E4</f>
        <v>0</v>
      </c>
      <c r="BO4" s="70">
        <f>BN4*F4</f>
        <v>0</v>
      </c>
      <c r="BP4" s="70">
        <f>BJ4*D4*H4</f>
        <v>0</v>
      </c>
      <c r="BQ4" s="70">
        <f>BI4*AO4*I4*4*12</f>
        <v>0</v>
      </c>
      <c r="BR4" s="69">
        <f>BH4*BI4*4*12</f>
        <v>0</v>
      </c>
      <c r="BS4" s="70">
        <f>BR4*G4</f>
        <v>0</v>
      </c>
    </row>
    <row r="5" spans="1:71" x14ac:dyDescent="0.25">
      <c r="A5">
        <v>1</v>
      </c>
      <c r="B5" s="73" t="s">
        <v>113</v>
      </c>
      <c r="C5" s="73">
        <v>77800</v>
      </c>
      <c r="D5" s="73">
        <v>500</v>
      </c>
      <c r="E5" s="74">
        <v>900</v>
      </c>
      <c r="F5" s="75">
        <v>3</v>
      </c>
      <c r="G5" s="75">
        <v>0.1</v>
      </c>
      <c r="H5" s="75">
        <v>0.35</v>
      </c>
      <c r="I5" s="75">
        <f t="shared" si="0"/>
        <v>1556</v>
      </c>
      <c r="J5" s="75">
        <v>150</v>
      </c>
      <c r="K5" s="74">
        <v>1500</v>
      </c>
      <c r="L5" s="104"/>
      <c r="M5" s="67">
        <v>9000</v>
      </c>
      <c r="N5" s="76">
        <v>2.5</v>
      </c>
      <c r="O5" s="77">
        <v>24500</v>
      </c>
      <c r="P5" s="77">
        <v>2.5</v>
      </c>
      <c r="Q5" s="77"/>
      <c r="R5" s="77"/>
      <c r="S5" s="77"/>
      <c r="T5" s="59"/>
      <c r="U5" s="59"/>
      <c r="V5" s="59"/>
      <c r="W5" s="59"/>
      <c r="X5" s="59"/>
      <c r="Y5" s="59"/>
      <c r="Z5" s="65">
        <v>2</v>
      </c>
      <c r="AA5" s="102"/>
      <c r="AB5" s="70">
        <v>10000</v>
      </c>
      <c r="AC5" s="62">
        <v>3</v>
      </c>
      <c r="AD5" s="94">
        <v>24500</v>
      </c>
      <c r="AE5" s="62">
        <v>3</v>
      </c>
      <c r="AF5" s="62">
        <v>12000</v>
      </c>
      <c r="AG5" s="62"/>
      <c r="AH5" s="62"/>
      <c r="AI5" s="62"/>
      <c r="AJ5" s="62"/>
      <c r="AK5" s="62"/>
      <c r="AL5" s="62"/>
      <c r="AM5" s="62"/>
      <c r="AN5" s="62"/>
      <c r="AO5" s="68">
        <v>2</v>
      </c>
      <c r="AP5" s="97"/>
      <c r="AQ5" s="72">
        <f t="shared" ref="AQ5" si="2">N5+P5+R5+T5+V5+X5</f>
        <v>5</v>
      </c>
      <c r="AR5" s="72">
        <f>O5+Q5+S5+U5+W5+Y5</f>
        <v>24500</v>
      </c>
      <c r="AS5" s="65">
        <v>6</v>
      </c>
      <c r="AT5" s="66">
        <f t="shared" ref="AT5:AT10" si="3">AQ5*AS5*4*12</f>
        <v>1440</v>
      </c>
      <c r="AU5" s="66">
        <f t="shared" ref="AU5:AU10" si="4">AT5*M5</f>
        <v>12960000</v>
      </c>
      <c r="AV5" s="67">
        <f t="shared" ref="AV5:AV10" si="5">AT5*K5</f>
        <v>2160000</v>
      </c>
      <c r="AW5" s="67">
        <f t="shared" ref="AW5:AW10" si="6">Z5*J5*AS5*4*12</f>
        <v>86400</v>
      </c>
      <c r="AX5" s="66">
        <f t="shared" ref="AX5:AX10" si="7">AT5*E5</f>
        <v>1296000</v>
      </c>
      <c r="AY5" s="67">
        <f t="shared" ref="AY5:AY10" si="8">AX5*F5</f>
        <v>3888000</v>
      </c>
      <c r="AZ5" s="67">
        <f t="shared" ref="AZ5:AZ10" si="9">AT5*D5*H5</f>
        <v>251999.99999999997</v>
      </c>
      <c r="BA5" s="67">
        <f t="shared" ref="BA5:BA10" si="10">Z5*I5*AS5*4*12</f>
        <v>896256</v>
      </c>
      <c r="BB5" s="66">
        <f t="shared" ref="BB5:BB10" si="11">AR5*AS5*4*12</f>
        <v>7056000</v>
      </c>
      <c r="BC5" s="67">
        <f t="shared" ref="BC5:BC10" si="12">BB5*G5</f>
        <v>705600</v>
      </c>
      <c r="BD5" s="66">
        <f t="shared" ref="BD5:BD10" si="13">BB5*$BD$3</f>
        <v>21168000</v>
      </c>
      <c r="BE5" s="66">
        <f t="shared" ref="BE5:BE10" si="14">BB5*$BE$3</f>
        <v>14112000</v>
      </c>
      <c r="BF5" s="98"/>
      <c r="BG5" s="58">
        <f t="shared" ref="BG5:BG10" si="15">AC5+AE5+AG5+AI5+AK5+AM5</f>
        <v>6</v>
      </c>
      <c r="BH5" s="90">
        <f>AD5+AF5+AH5+AJ5+AL5+AN5</f>
        <v>36500</v>
      </c>
      <c r="BI5" s="68">
        <v>7</v>
      </c>
      <c r="BJ5" s="69">
        <f t="shared" si="1"/>
        <v>2016</v>
      </c>
      <c r="BK5" s="69">
        <f>BJ5*AB5</f>
        <v>20160000</v>
      </c>
      <c r="BL5" s="70">
        <f t="shared" ref="BL5:BL10" si="16">BJ5*K5</f>
        <v>3024000</v>
      </c>
      <c r="BM5" s="70">
        <f>BI5*AO5*4*12*J5</f>
        <v>100800</v>
      </c>
      <c r="BN5" s="69">
        <f t="shared" ref="BN5:BN10" si="17">BJ5*E5</f>
        <v>1814400</v>
      </c>
      <c r="BO5" s="70">
        <f t="shared" ref="BO5:BO10" si="18">BN5*F5</f>
        <v>5443200</v>
      </c>
      <c r="BP5" s="70">
        <f t="shared" ref="BP5:BP10" si="19">BJ5*D5*H5</f>
        <v>352800</v>
      </c>
      <c r="BQ5" s="70">
        <f t="shared" ref="BQ5:BQ10" si="20">BI5*AO5*I5*4*12</f>
        <v>1045632</v>
      </c>
      <c r="BR5" s="69">
        <f t="shared" ref="BR5:BR10" si="21">BH5*BI5*4*12</f>
        <v>12264000</v>
      </c>
      <c r="BS5" s="70">
        <f t="shared" ref="BS5:BS10" si="22">BR5*G5</f>
        <v>1226400</v>
      </c>
    </row>
    <row r="6" spans="1:71" x14ac:dyDescent="0.25">
      <c r="A6">
        <v>2</v>
      </c>
      <c r="B6" s="73" t="s">
        <v>113</v>
      </c>
      <c r="C6" s="73">
        <v>77800</v>
      </c>
      <c r="D6" s="73">
        <v>500</v>
      </c>
      <c r="E6" s="74">
        <v>900</v>
      </c>
      <c r="F6" s="75">
        <v>3</v>
      </c>
      <c r="G6" s="75">
        <v>0.1</v>
      </c>
      <c r="H6" s="75">
        <v>0.35</v>
      </c>
      <c r="I6" s="75">
        <f t="shared" si="0"/>
        <v>1556</v>
      </c>
      <c r="J6" s="75">
        <v>150</v>
      </c>
      <c r="K6" s="74">
        <v>1500</v>
      </c>
      <c r="L6" s="104"/>
      <c r="M6" s="67">
        <v>9000</v>
      </c>
      <c r="N6" s="77"/>
      <c r="O6" s="77"/>
      <c r="P6" s="77"/>
      <c r="Q6" s="77"/>
      <c r="R6" s="77"/>
      <c r="S6" s="77"/>
      <c r="T6" s="59"/>
      <c r="U6" s="59"/>
      <c r="V6" s="59"/>
      <c r="W6" s="59"/>
      <c r="X6" s="59"/>
      <c r="Y6" s="59"/>
      <c r="Z6" s="65"/>
      <c r="AA6" s="102"/>
      <c r="AB6" s="70">
        <v>10000</v>
      </c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8"/>
      <c r="AP6" s="97"/>
      <c r="AQ6" s="72">
        <f t="shared" ref="AQ6:AQ10" si="23">N6+P6+R6+T6+V6+X6</f>
        <v>0</v>
      </c>
      <c r="AR6" s="72">
        <f t="shared" ref="AR6:AR10" si="24">O6+Q6+S6+U6+W6+Y6</f>
        <v>0</v>
      </c>
      <c r="AS6" s="65"/>
      <c r="AT6" s="66">
        <f t="shared" si="3"/>
        <v>0</v>
      </c>
      <c r="AU6" s="66">
        <f t="shared" si="4"/>
        <v>0</v>
      </c>
      <c r="AV6" s="67">
        <f t="shared" si="5"/>
        <v>0</v>
      </c>
      <c r="AW6" s="67">
        <f t="shared" si="6"/>
        <v>0</v>
      </c>
      <c r="AX6" s="66">
        <f t="shared" si="7"/>
        <v>0</v>
      </c>
      <c r="AY6" s="67">
        <f t="shared" si="8"/>
        <v>0</v>
      </c>
      <c r="AZ6" s="67">
        <f t="shared" si="9"/>
        <v>0</v>
      </c>
      <c r="BA6" s="67">
        <f t="shared" si="10"/>
        <v>0</v>
      </c>
      <c r="BB6" s="66">
        <f t="shared" si="11"/>
        <v>0</v>
      </c>
      <c r="BC6" s="67">
        <f t="shared" si="12"/>
        <v>0</v>
      </c>
      <c r="BD6" s="66">
        <f t="shared" si="13"/>
        <v>0</v>
      </c>
      <c r="BE6" s="66">
        <f t="shared" si="14"/>
        <v>0</v>
      </c>
      <c r="BF6" s="98"/>
      <c r="BG6" s="58">
        <f t="shared" si="15"/>
        <v>0</v>
      </c>
      <c r="BH6" s="90">
        <f t="shared" ref="BH6:BH10" si="25">AE6+AG6+AI6+AK6+AM6+AO6</f>
        <v>0</v>
      </c>
      <c r="BI6" s="68"/>
      <c r="BJ6" s="69">
        <f t="shared" si="1"/>
        <v>0</v>
      </c>
      <c r="BK6" s="69">
        <f t="shared" ref="BK6:BK10" si="26">BJ6*AB6</f>
        <v>0</v>
      </c>
      <c r="BL6" s="70">
        <f t="shared" si="16"/>
        <v>0</v>
      </c>
      <c r="BM6" s="70">
        <f t="shared" ref="BM6:BM10" si="27">BI6*AO6*4*12*J6</f>
        <v>0</v>
      </c>
      <c r="BN6" s="69">
        <f t="shared" si="17"/>
        <v>0</v>
      </c>
      <c r="BO6" s="70">
        <f t="shared" si="18"/>
        <v>0</v>
      </c>
      <c r="BP6" s="70">
        <f t="shared" si="19"/>
        <v>0</v>
      </c>
      <c r="BQ6" s="70">
        <f t="shared" si="20"/>
        <v>0</v>
      </c>
      <c r="BR6" s="69">
        <f t="shared" si="21"/>
        <v>0</v>
      </c>
      <c r="BS6" s="70">
        <f t="shared" si="22"/>
        <v>0</v>
      </c>
    </row>
    <row r="7" spans="1:71" x14ac:dyDescent="0.25">
      <c r="A7">
        <v>3</v>
      </c>
      <c r="B7" s="73" t="s">
        <v>113</v>
      </c>
      <c r="C7" s="73">
        <v>77800</v>
      </c>
      <c r="D7" s="73">
        <v>500</v>
      </c>
      <c r="E7" s="74">
        <v>900</v>
      </c>
      <c r="F7" s="75">
        <v>3</v>
      </c>
      <c r="G7" s="75">
        <v>0.1</v>
      </c>
      <c r="H7" s="75">
        <v>0.35</v>
      </c>
      <c r="I7" s="75">
        <f t="shared" si="0"/>
        <v>1556</v>
      </c>
      <c r="J7" s="75">
        <v>150</v>
      </c>
      <c r="K7" s="74">
        <v>1500</v>
      </c>
      <c r="L7" s="104"/>
      <c r="M7" s="67">
        <v>9000</v>
      </c>
      <c r="N7" s="77"/>
      <c r="O7" s="77"/>
      <c r="P7" s="77"/>
      <c r="Q7" s="77"/>
      <c r="R7" s="77"/>
      <c r="S7" s="77"/>
      <c r="T7" s="59"/>
      <c r="U7" s="59"/>
      <c r="V7" s="59"/>
      <c r="W7" s="59"/>
      <c r="X7" s="59"/>
      <c r="Y7" s="59"/>
      <c r="Z7" s="65"/>
      <c r="AA7" s="102"/>
      <c r="AB7" s="70">
        <v>10000</v>
      </c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8"/>
      <c r="AP7" s="97"/>
      <c r="AQ7" s="72">
        <f t="shared" si="23"/>
        <v>0</v>
      </c>
      <c r="AR7" s="72">
        <f t="shared" si="24"/>
        <v>0</v>
      </c>
      <c r="AS7" s="65"/>
      <c r="AT7" s="66">
        <f t="shared" si="3"/>
        <v>0</v>
      </c>
      <c r="AU7" s="66">
        <f t="shared" si="4"/>
        <v>0</v>
      </c>
      <c r="AV7" s="67">
        <f t="shared" si="5"/>
        <v>0</v>
      </c>
      <c r="AW7" s="67">
        <f t="shared" si="6"/>
        <v>0</v>
      </c>
      <c r="AX7" s="66">
        <f t="shared" si="7"/>
        <v>0</v>
      </c>
      <c r="AY7" s="67">
        <f t="shared" si="8"/>
        <v>0</v>
      </c>
      <c r="AZ7" s="67">
        <f t="shared" si="9"/>
        <v>0</v>
      </c>
      <c r="BA7" s="67">
        <f t="shared" si="10"/>
        <v>0</v>
      </c>
      <c r="BB7" s="66">
        <f t="shared" si="11"/>
        <v>0</v>
      </c>
      <c r="BC7" s="67">
        <f t="shared" si="12"/>
        <v>0</v>
      </c>
      <c r="BD7" s="66">
        <f t="shared" si="13"/>
        <v>0</v>
      </c>
      <c r="BE7" s="66">
        <f t="shared" si="14"/>
        <v>0</v>
      </c>
      <c r="BF7" s="98"/>
      <c r="BG7" s="58">
        <f t="shared" si="15"/>
        <v>0</v>
      </c>
      <c r="BH7" s="90">
        <f t="shared" si="25"/>
        <v>0</v>
      </c>
      <c r="BI7" s="68"/>
      <c r="BJ7" s="69">
        <f t="shared" si="1"/>
        <v>0</v>
      </c>
      <c r="BK7" s="69">
        <f t="shared" si="26"/>
        <v>0</v>
      </c>
      <c r="BL7" s="70">
        <f t="shared" si="16"/>
        <v>0</v>
      </c>
      <c r="BM7" s="70">
        <f t="shared" si="27"/>
        <v>0</v>
      </c>
      <c r="BN7" s="69">
        <f t="shared" si="17"/>
        <v>0</v>
      </c>
      <c r="BO7" s="70">
        <f t="shared" si="18"/>
        <v>0</v>
      </c>
      <c r="BP7" s="70">
        <f t="shared" si="19"/>
        <v>0</v>
      </c>
      <c r="BQ7" s="70">
        <f t="shared" si="20"/>
        <v>0</v>
      </c>
      <c r="BR7" s="69">
        <f t="shared" si="21"/>
        <v>0</v>
      </c>
      <c r="BS7" s="70">
        <f t="shared" si="22"/>
        <v>0</v>
      </c>
    </row>
    <row r="8" spans="1:71" x14ac:dyDescent="0.25">
      <c r="A8">
        <v>4</v>
      </c>
      <c r="B8" s="73" t="s">
        <v>113</v>
      </c>
      <c r="C8" s="73">
        <v>77800</v>
      </c>
      <c r="D8" s="73">
        <v>500</v>
      </c>
      <c r="E8" s="74">
        <v>900</v>
      </c>
      <c r="F8" s="75">
        <v>3</v>
      </c>
      <c r="G8" s="75">
        <v>0.1</v>
      </c>
      <c r="H8" s="75">
        <v>0.35</v>
      </c>
      <c r="I8" s="75">
        <f t="shared" si="0"/>
        <v>1556</v>
      </c>
      <c r="J8" s="75">
        <v>150</v>
      </c>
      <c r="K8" s="74">
        <v>1500</v>
      </c>
      <c r="L8" s="104"/>
      <c r="M8" s="67">
        <v>9000</v>
      </c>
      <c r="N8" s="77"/>
      <c r="O8" s="77"/>
      <c r="P8" s="77"/>
      <c r="Q8" s="77"/>
      <c r="R8" s="77"/>
      <c r="S8" s="77"/>
      <c r="T8" s="59"/>
      <c r="U8" s="59"/>
      <c r="V8" s="59"/>
      <c r="W8" s="59"/>
      <c r="X8" s="59"/>
      <c r="Y8" s="59"/>
      <c r="Z8" s="65"/>
      <c r="AA8" s="102"/>
      <c r="AB8" s="70">
        <v>10000</v>
      </c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8"/>
      <c r="AP8" s="97"/>
      <c r="AQ8" s="72">
        <f t="shared" si="23"/>
        <v>0</v>
      </c>
      <c r="AR8" s="72">
        <f t="shared" si="24"/>
        <v>0</v>
      </c>
      <c r="AS8" s="65"/>
      <c r="AT8" s="66">
        <f t="shared" si="3"/>
        <v>0</v>
      </c>
      <c r="AU8" s="66">
        <f t="shared" si="4"/>
        <v>0</v>
      </c>
      <c r="AV8" s="67">
        <f t="shared" si="5"/>
        <v>0</v>
      </c>
      <c r="AW8" s="67">
        <f t="shared" si="6"/>
        <v>0</v>
      </c>
      <c r="AX8" s="66">
        <f t="shared" si="7"/>
        <v>0</v>
      </c>
      <c r="AY8" s="67">
        <f t="shared" si="8"/>
        <v>0</v>
      </c>
      <c r="AZ8" s="67">
        <f t="shared" si="9"/>
        <v>0</v>
      </c>
      <c r="BA8" s="67">
        <f t="shared" si="10"/>
        <v>0</v>
      </c>
      <c r="BB8" s="66">
        <f t="shared" si="11"/>
        <v>0</v>
      </c>
      <c r="BC8" s="67">
        <f t="shared" si="12"/>
        <v>0</v>
      </c>
      <c r="BD8" s="66">
        <f t="shared" si="13"/>
        <v>0</v>
      </c>
      <c r="BE8" s="66">
        <f t="shared" si="14"/>
        <v>0</v>
      </c>
      <c r="BF8" s="98"/>
      <c r="BG8" s="58">
        <f t="shared" si="15"/>
        <v>0</v>
      </c>
      <c r="BH8" s="90">
        <f t="shared" si="25"/>
        <v>0</v>
      </c>
      <c r="BI8" s="68"/>
      <c r="BJ8" s="69">
        <f t="shared" si="1"/>
        <v>0</v>
      </c>
      <c r="BK8" s="69">
        <f t="shared" si="26"/>
        <v>0</v>
      </c>
      <c r="BL8" s="70">
        <f t="shared" si="16"/>
        <v>0</v>
      </c>
      <c r="BM8" s="70">
        <f t="shared" si="27"/>
        <v>0</v>
      </c>
      <c r="BN8" s="69">
        <f t="shared" si="17"/>
        <v>0</v>
      </c>
      <c r="BO8" s="70">
        <f t="shared" si="18"/>
        <v>0</v>
      </c>
      <c r="BP8" s="70">
        <f t="shared" si="19"/>
        <v>0</v>
      </c>
      <c r="BQ8" s="70">
        <f t="shared" si="20"/>
        <v>0</v>
      </c>
      <c r="BR8" s="69">
        <f t="shared" si="21"/>
        <v>0</v>
      </c>
      <c r="BS8" s="70">
        <f t="shared" si="22"/>
        <v>0</v>
      </c>
    </row>
    <row r="9" spans="1:71" x14ac:dyDescent="0.25">
      <c r="A9">
        <v>3</v>
      </c>
      <c r="B9" s="73" t="s">
        <v>114</v>
      </c>
      <c r="C9" s="73">
        <v>260800</v>
      </c>
      <c r="D9" s="73">
        <v>500</v>
      </c>
      <c r="E9" s="74">
        <v>1800</v>
      </c>
      <c r="F9" s="75">
        <v>3</v>
      </c>
      <c r="G9" s="75">
        <v>0.1</v>
      </c>
      <c r="H9" s="75">
        <v>0.35</v>
      </c>
      <c r="I9" s="75">
        <f t="shared" si="0"/>
        <v>5216</v>
      </c>
      <c r="J9" s="75">
        <v>350</v>
      </c>
      <c r="K9" s="74">
        <v>6500</v>
      </c>
      <c r="L9" s="104"/>
      <c r="M9" s="67">
        <v>18000</v>
      </c>
      <c r="N9" s="77"/>
      <c r="O9" s="77"/>
      <c r="P9" s="77"/>
      <c r="Q9" s="77"/>
      <c r="R9" s="77"/>
      <c r="S9" s="77"/>
      <c r="T9" s="59"/>
      <c r="U9" s="59"/>
      <c r="V9" s="59"/>
      <c r="W9" s="59"/>
      <c r="X9" s="59"/>
      <c r="Y9" s="59"/>
      <c r="Z9" s="65"/>
      <c r="AA9" s="102"/>
      <c r="AB9" s="70">
        <v>20000</v>
      </c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8"/>
      <c r="AP9" s="97"/>
      <c r="AQ9" s="72">
        <f t="shared" si="23"/>
        <v>0</v>
      </c>
      <c r="AR9" s="72">
        <f t="shared" si="24"/>
        <v>0</v>
      </c>
      <c r="AS9" s="65"/>
      <c r="AT9" s="66">
        <f t="shared" si="3"/>
        <v>0</v>
      </c>
      <c r="AU9" s="66">
        <f t="shared" si="4"/>
        <v>0</v>
      </c>
      <c r="AV9" s="67">
        <f t="shared" si="5"/>
        <v>0</v>
      </c>
      <c r="AW9" s="67">
        <f t="shared" si="6"/>
        <v>0</v>
      </c>
      <c r="AX9" s="66">
        <f t="shared" si="7"/>
        <v>0</v>
      </c>
      <c r="AY9" s="67">
        <f t="shared" si="8"/>
        <v>0</v>
      </c>
      <c r="AZ9" s="67">
        <f t="shared" si="9"/>
        <v>0</v>
      </c>
      <c r="BA9" s="67">
        <f t="shared" si="10"/>
        <v>0</v>
      </c>
      <c r="BB9" s="66">
        <f t="shared" si="11"/>
        <v>0</v>
      </c>
      <c r="BC9" s="67">
        <f t="shared" si="12"/>
        <v>0</v>
      </c>
      <c r="BD9" s="66">
        <f t="shared" si="13"/>
        <v>0</v>
      </c>
      <c r="BE9" s="66">
        <f t="shared" si="14"/>
        <v>0</v>
      </c>
      <c r="BF9" s="98"/>
      <c r="BG9" s="58">
        <f t="shared" si="15"/>
        <v>0</v>
      </c>
      <c r="BH9" s="90">
        <f t="shared" si="25"/>
        <v>0</v>
      </c>
      <c r="BI9" s="68"/>
      <c r="BJ9" s="69">
        <f t="shared" si="1"/>
        <v>0</v>
      </c>
      <c r="BK9" s="69">
        <f t="shared" si="26"/>
        <v>0</v>
      </c>
      <c r="BL9" s="70">
        <f t="shared" si="16"/>
        <v>0</v>
      </c>
      <c r="BM9" s="70">
        <f t="shared" si="27"/>
        <v>0</v>
      </c>
      <c r="BN9" s="69">
        <f t="shared" si="17"/>
        <v>0</v>
      </c>
      <c r="BO9" s="70">
        <f t="shared" si="18"/>
        <v>0</v>
      </c>
      <c r="BP9" s="70">
        <f t="shared" si="19"/>
        <v>0</v>
      </c>
      <c r="BQ9" s="70">
        <f t="shared" si="20"/>
        <v>0</v>
      </c>
      <c r="BR9" s="69">
        <f t="shared" si="21"/>
        <v>0</v>
      </c>
      <c r="BS9" s="70">
        <f t="shared" si="22"/>
        <v>0</v>
      </c>
    </row>
    <row r="10" spans="1:71" x14ac:dyDescent="0.25">
      <c r="A10">
        <v>4</v>
      </c>
      <c r="B10" s="73" t="s">
        <v>114</v>
      </c>
      <c r="C10" s="73">
        <v>260800</v>
      </c>
      <c r="D10" s="73">
        <v>500</v>
      </c>
      <c r="E10" s="74">
        <v>1800</v>
      </c>
      <c r="F10" s="75">
        <v>3</v>
      </c>
      <c r="G10" s="75">
        <v>0.1</v>
      </c>
      <c r="H10" s="75">
        <v>0.35</v>
      </c>
      <c r="I10" s="75">
        <f>C10*0.02</f>
        <v>5216</v>
      </c>
      <c r="J10" s="75">
        <v>350</v>
      </c>
      <c r="K10" s="74">
        <v>6500</v>
      </c>
      <c r="L10" s="104"/>
      <c r="M10" s="67">
        <v>18000</v>
      </c>
      <c r="N10" s="77"/>
      <c r="O10" s="77"/>
      <c r="P10" s="77"/>
      <c r="Q10" s="77"/>
      <c r="R10" s="77"/>
      <c r="S10" s="77"/>
      <c r="T10" s="59"/>
      <c r="U10" s="59"/>
      <c r="V10" s="59"/>
      <c r="W10" s="59"/>
      <c r="X10" s="59"/>
      <c r="Y10" s="59"/>
      <c r="Z10" s="65"/>
      <c r="AA10" s="102"/>
      <c r="AB10" s="70">
        <v>20000</v>
      </c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8"/>
      <c r="AP10" s="97"/>
      <c r="AQ10" s="72">
        <f t="shared" si="23"/>
        <v>0</v>
      </c>
      <c r="AR10" s="72">
        <f t="shared" si="24"/>
        <v>0</v>
      </c>
      <c r="AS10" s="65"/>
      <c r="AT10" s="66">
        <f t="shared" si="3"/>
        <v>0</v>
      </c>
      <c r="AU10" s="66">
        <f t="shared" si="4"/>
        <v>0</v>
      </c>
      <c r="AV10" s="67">
        <f t="shared" si="5"/>
        <v>0</v>
      </c>
      <c r="AW10" s="67">
        <f t="shared" si="6"/>
        <v>0</v>
      </c>
      <c r="AX10" s="66">
        <f t="shared" si="7"/>
        <v>0</v>
      </c>
      <c r="AY10" s="67">
        <f t="shared" si="8"/>
        <v>0</v>
      </c>
      <c r="AZ10" s="67">
        <f t="shared" si="9"/>
        <v>0</v>
      </c>
      <c r="BA10" s="67">
        <f t="shared" si="10"/>
        <v>0</v>
      </c>
      <c r="BB10" s="66">
        <f t="shared" si="11"/>
        <v>0</v>
      </c>
      <c r="BC10" s="67">
        <f t="shared" si="12"/>
        <v>0</v>
      </c>
      <c r="BD10" s="66">
        <f t="shared" si="13"/>
        <v>0</v>
      </c>
      <c r="BE10" s="66">
        <f t="shared" si="14"/>
        <v>0</v>
      </c>
      <c r="BF10" s="98"/>
      <c r="BG10" s="58">
        <f t="shared" si="15"/>
        <v>0</v>
      </c>
      <c r="BH10" s="90">
        <f t="shared" si="25"/>
        <v>0</v>
      </c>
      <c r="BI10" s="68"/>
      <c r="BJ10" s="69">
        <f t="shared" si="1"/>
        <v>0</v>
      </c>
      <c r="BK10" s="69">
        <f t="shared" si="26"/>
        <v>0</v>
      </c>
      <c r="BL10" s="70">
        <f t="shared" si="16"/>
        <v>0</v>
      </c>
      <c r="BM10" s="70">
        <f t="shared" si="27"/>
        <v>0</v>
      </c>
      <c r="BN10" s="69">
        <f t="shared" si="17"/>
        <v>0</v>
      </c>
      <c r="BO10" s="70">
        <f t="shared" si="18"/>
        <v>0</v>
      </c>
      <c r="BP10" s="70">
        <f t="shared" si="19"/>
        <v>0</v>
      </c>
      <c r="BQ10" s="70">
        <f t="shared" si="20"/>
        <v>0</v>
      </c>
      <c r="BR10" s="69">
        <f t="shared" si="21"/>
        <v>0</v>
      </c>
      <c r="BS10" s="70">
        <f t="shared" si="22"/>
        <v>0</v>
      </c>
    </row>
    <row r="11" spans="1:71" x14ac:dyDescent="0.25">
      <c r="AA11" s="98"/>
      <c r="AB11" s="70"/>
      <c r="AP11" s="98"/>
      <c r="AQ11" s="82">
        <f>SUM(AQ4:AQ10)</f>
        <v>16</v>
      </c>
      <c r="AR11" s="61"/>
      <c r="AS11" s="60"/>
      <c r="AT11" s="82">
        <f t="shared" ref="AT11:BC11" si="28">SUM(AT4:AT10)</f>
        <v>4608</v>
      </c>
      <c r="AU11" s="109">
        <f t="shared" si="28"/>
        <v>41472000</v>
      </c>
      <c r="AV11" s="83">
        <f t="shared" si="28"/>
        <v>6912000</v>
      </c>
      <c r="AW11" s="83">
        <f t="shared" si="28"/>
        <v>259200</v>
      </c>
      <c r="AX11" s="84">
        <f t="shared" si="28"/>
        <v>4147200</v>
      </c>
      <c r="AY11" s="83">
        <f>SUM(AY4:AY10)</f>
        <v>12441600</v>
      </c>
      <c r="AZ11" s="83">
        <f t="shared" ref="AZ11:BA11" si="29">SUM(AZ4:AZ10)</f>
        <v>806400</v>
      </c>
      <c r="BA11" s="83">
        <f t="shared" si="29"/>
        <v>2688768</v>
      </c>
      <c r="BB11" s="82">
        <f t="shared" si="28"/>
        <v>24624000</v>
      </c>
      <c r="BC11" s="82">
        <f t="shared" si="28"/>
        <v>2462400</v>
      </c>
      <c r="BD11" s="82">
        <f t="shared" ref="BD11" si="30">SUM(BD4:BD10)</f>
        <v>73872000</v>
      </c>
      <c r="BE11" s="82">
        <f t="shared" ref="BE11" si="31">SUM(BE4:BE10)</f>
        <v>49248000</v>
      </c>
      <c r="BF11" s="98"/>
      <c r="BG11" s="85">
        <f>SUM(BG4:BG10)</f>
        <v>6</v>
      </c>
      <c r="BH11" s="63"/>
      <c r="BI11" s="64"/>
      <c r="BJ11" s="85">
        <f t="shared" ref="BJ11" si="32">SUM(BJ4:BJ10)</f>
        <v>2016</v>
      </c>
      <c r="BK11" s="108">
        <f t="shared" ref="BK11" si="33">SUM(BK4:BK10)</f>
        <v>20160000</v>
      </c>
      <c r="BL11" s="86">
        <f t="shared" ref="BL11" si="34">SUM(BL4:BL10)</f>
        <v>3024000</v>
      </c>
      <c r="BM11" s="86">
        <f t="shared" ref="BM11" si="35">SUM(BM4:BM10)</f>
        <v>100800</v>
      </c>
      <c r="BN11" s="91">
        <f t="shared" ref="BN11" si="36">SUM(BN4:BN10)</f>
        <v>1814400</v>
      </c>
      <c r="BO11" s="86">
        <f>SUM(BO4:BO10)</f>
        <v>5443200</v>
      </c>
      <c r="BP11" s="86">
        <f t="shared" ref="BP11" si="37">SUM(BP4:BP10)</f>
        <v>352800</v>
      </c>
      <c r="BQ11" s="86">
        <f t="shared" ref="BQ11" si="38">SUM(BQ4:BQ10)</f>
        <v>1045632</v>
      </c>
      <c r="BR11" s="85">
        <f t="shared" ref="BR11" si="39">SUM(BR4:BR10)</f>
        <v>12264000</v>
      </c>
      <c r="BS11" s="85">
        <f>SUM(BS4:BS10)</f>
        <v>1226400</v>
      </c>
    </row>
    <row r="12" spans="1:71" x14ac:dyDescent="0.25">
      <c r="AQ12" s="61"/>
      <c r="AR12" s="61"/>
      <c r="AS12" s="60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87">
        <f>BD11+BE11+AU11</f>
        <v>164592000</v>
      </c>
      <c r="BF12" s="98"/>
      <c r="BJ12" s="49">
        <f>BJ11+AT11</f>
        <v>6624</v>
      </c>
      <c r="BK12" s="105" t="s">
        <v>162</v>
      </c>
      <c r="BL12" s="105">
        <f>BL11+AV11</f>
        <v>9936000</v>
      </c>
      <c r="BN12" s="106" t="s">
        <v>161</v>
      </c>
      <c r="BO12" s="107">
        <f>BO11+AY11</f>
        <v>17884800</v>
      </c>
      <c r="BP12" s="110" t="s">
        <v>163</v>
      </c>
      <c r="BQ12" s="111">
        <f>BQ11+BP11+BM11+BS11+BC11+BA11+AZ11+AW11</f>
        <v>8942400</v>
      </c>
    </row>
    <row r="13" spans="1:71" x14ac:dyDescent="0.25">
      <c r="BJ13" s="49"/>
    </row>
    <row r="15" spans="1:71" x14ac:dyDescent="0.25">
      <c r="L15" s="98"/>
      <c r="M15" s="130" t="s">
        <v>132</v>
      </c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60"/>
      <c r="AA15" s="99"/>
      <c r="AB15" s="128" t="s">
        <v>133</v>
      </c>
      <c r="AC15" s="128"/>
      <c r="AD15" s="128"/>
      <c r="AE15" s="128"/>
      <c r="AF15" s="128"/>
      <c r="AG15" s="128"/>
      <c r="AH15" s="128"/>
      <c r="AI15" s="128"/>
      <c r="AJ15" s="128"/>
      <c r="AK15" s="128"/>
      <c r="AL15" s="128"/>
      <c r="AM15" s="128"/>
      <c r="AN15" s="128"/>
      <c r="AO15" s="128"/>
      <c r="AP15" s="95"/>
      <c r="AQ15" s="129" t="s">
        <v>132</v>
      </c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98"/>
      <c r="BG15" s="128" t="s">
        <v>132</v>
      </c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</row>
    <row r="16" spans="1:71" x14ac:dyDescent="0.25">
      <c r="B16" s="73"/>
      <c r="C16" s="73"/>
      <c r="D16" s="73"/>
      <c r="E16" s="73" t="s">
        <v>137</v>
      </c>
      <c r="F16" s="73"/>
      <c r="G16" s="73"/>
      <c r="H16" s="73"/>
      <c r="I16" s="73"/>
      <c r="J16" s="73"/>
      <c r="K16" s="73" t="s">
        <v>135</v>
      </c>
      <c r="L16" s="103"/>
      <c r="M16" s="131" t="s">
        <v>149</v>
      </c>
      <c r="N16" s="130" t="s">
        <v>124</v>
      </c>
      <c r="O16" s="130"/>
      <c r="P16" s="130" t="s">
        <v>125</v>
      </c>
      <c r="Q16" s="130"/>
      <c r="R16" s="130" t="s">
        <v>126</v>
      </c>
      <c r="S16" s="130"/>
      <c r="T16" s="130" t="s">
        <v>127</v>
      </c>
      <c r="U16" s="130"/>
      <c r="V16" s="130" t="s">
        <v>128</v>
      </c>
      <c r="W16" s="130"/>
      <c r="X16" s="130" t="s">
        <v>129</v>
      </c>
      <c r="Y16" s="130"/>
      <c r="Z16" s="131" t="s">
        <v>153</v>
      </c>
      <c r="AA16" s="100"/>
      <c r="AB16" s="132" t="s">
        <v>150</v>
      </c>
      <c r="AC16" s="128" t="s">
        <v>124</v>
      </c>
      <c r="AD16" s="128"/>
      <c r="AE16" s="128" t="s">
        <v>125</v>
      </c>
      <c r="AF16" s="128"/>
      <c r="AG16" s="128" t="s">
        <v>126</v>
      </c>
      <c r="AH16" s="128"/>
      <c r="AI16" s="128" t="s">
        <v>127</v>
      </c>
      <c r="AJ16" s="128"/>
      <c r="AK16" s="128" t="s">
        <v>128</v>
      </c>
      <c r="AL16" s="128"/>
      <c r="AM16" s="128" t="s">
        <v>129</v>
      </c>
      <c r="AN16" s="128"/>
      <c r="AO16" s="88"/>
      <c r="AP16" s="95"/>
      <c r="AQ16" s="129" t="s">
        <v>139</v>
      </c>
      <c r="AR16" s="129"/>
      <c r="AS16" s="129" t="s">
        <v>138</v>
      </c>
      <c r="AT16" s="129"/>
      <c r="AU16" s="129"/>
      <c r="AV16" s="129"/>
      <c r="AW16" s="129"/>
      <c r="AX16" s="129"/>
      <c r="AY16" s="129"/>
      <c r="AZ16" s="129"/>
      <c r="BA16" s="129"/>
      <c r="BB16" s="129"/>
      <c r="BC16" s="80"/>
      <c r="BD16" s="80" t="s">
        <v>142</v>
      </c>
      <c r="BE16" s="81" t="s">
        <v>143</v>
      </c>
      <c r="BF16" s="98"/>
      <c r="BG16" s="128" t="s">
        <v>139</v>
      </c>
      <c r="BH16" s="128"/>
      <c r="BI16" s="128" t="s">
        <v>138</v>
      </c>
      <c r="BJ16" s="128"/>
      <c r="BK16" s="128"/>
      <c r="BL16" s="128"/>
      <c r="BM16" s="128"/>
      <c r="BN16" s="128"/>
      <c r="BO16" s="128"/>
      <c r="BP16" s="128"/>
      <c r="BQ16" s="128"/>
      <c r="BR16" s="128"/>
      <c r="BS16" s="88"/>
    </row>
    <row r="17" spans="1:71" x14ac:dyDescent="0.25">
      <c r="B17" s="73"/>
      <c r="C17" s="73" t="s">
        <v>154</v>
      </c>
      <c r="D17" s="73" t="s">
        <v>155</v>
      </c>
      <c r="E17" s="73" t="s">
        <v>134</v>
      </c>
      <c r="F17" s="73" t="s">
        <v>146</v>
      </c>
      <c r="G17" s="73" t="s">
        <v>147</v>
      </c>
      <c r="H17" s="73" t="s">
        <v>148</v>
      </c>
      <c r="I17" s="73" t="s">
        <v>151</v>
      </c>
      <c r="J17" s="73" t="s">
        <v>152</v>
      </c>
      <c r="K17" s="73" t="s">
        <v>136</v>
      </c>
      <c r="L17" s="103"/>
      <c r="M17" s="131"/>
      <c r="N17" s="60" t="s">
        <v>130</v>
      </c>
      <c r="O17" s="60" t="s">
        <v>131</v>
      </c>
      <c r="P17" s="60" t="s">
        <v>130</v>
      </c>
      <c r="Q17" s="60" t="s">
        <v>131</v>
      </c>
      <c r="R17" s="60" t="s">
        <v>130</v>
      </c>
      <c r="S17" s="60" t="s">
        <v>131</v>
      </c>
      <c r="T17" s="60" t="s">
        <v>130</v>
      </c>
      <c r="U17" s="60" t="s">
        <v>131</v>
      </c>
      <c r="V17" s="60" t="s">
        <v>130</v>
      </c>
      <c r="W17" s="60" t="s">
        <v>131</v>
      </c>
      <c r="X17" s="60" t="s">
        <v>130</v>
      </c>
      <c r="Y17" s="60" t="s">
        <v>131</v>
      </c>
      <c r="Z17" s="131"/>
      <c r="AA17" s="100"/>
      <c r="AB17" s="132"/>
      <c r="AC17" s="88" t="s">
        <v>130</v>
      </c>
      <c r="AD17" s="88" t="s">
        <v>131</v>
      </c>
      <c r="AE17" s="88" t="s">
        <v>130</v>
      </c>
      <c r="AF17" s="88" t="s">
        <v>131</v>
      </c>
      <c r="AG17" s="88" t="s">
        <v>130</v>
      </c>
      <c r="AH17" s="88" t="s">
        <v>131</v>
      </c>
      <c r="AI17" s="88" t="s">
        <v>130</v>
      </c>
      <c r="AJ17" s="88" t="s">
        <v>131</v>
      </c>
      <c r="AK17" s="88" t="s">
        <v>130</v>
      </c>
      <c r="AL17" s="88" t="s">
        <v>131</v>
      </c>
      <c r="AM17" s="88" t="s">
        <v>130</v>
      </c>
      <c r="AN17" s="88" t="s">
        <v>131</v>
      </c>
      <c r="AO17" s="88" t="s">
        <v>153</v>
      </c>
      <c r="AP17" s="95"/>
      <c r="AQ17" s="71" t="s">
        <v>130</v>
      </c>
      <c r="AR17" s="71" t="s">
        <v>131</v>
      </c>
      <c r="AS17" s="65" t="s">
        <v>156</v>
      </c>
      <c r="AT17" s="65" t="s">
        <v>130</v>
      </c>
      <c r="AU17" s="65" t="s">
        <v>140</v>
      </c>
      <c r="AV17" s="65" t="s">
        <v>159</v>
      </c>
      <c r="AW17" s="65" t="s">
        <v>160</v>
      </c>
      <c r="AX17" s="65" t="s">
        <v>144</v>
      </c>
      <c r="AY17" s="65" t="s">
        <v>145</v>
      </c>
      <c r="AZ17" s="65" t="s">
        <v>157</v>
      </c>
      <c r="BA17" s="65" t="s">
        <v>151</v>
      </c>
      <c r="BB17" s="65" t="s">
        <v>141</v>
      </c>
      <c r="BC17" s="65" t="s">
        <v>158</v>
      </c>
      <c r="BD17" s="61">
        <v>3</v>
      </c>
      <c r="BE17" s="61">
        <v>2</v>
      </c>
      <c r="BF17" s="98"/>
      <c r="BG17" s="89" t="s">
        <v>130</v>
      </c>
      <c r="BH17" s="89" t="s">
        <v>131</v>
      </c>
      <c r="BI17" s="68" t="s">
        <v>156</v>
      </c>
      <c r="BJ17" s="68" t="s">
        <v>130</v>
      </c>
      <c r="BK17" s="68" t="s">
        <v>140</v>
      </c>
      <c r="BL17" s="68" t="s">
        <v>159</v>
      </c>
      <c r="BM17" s="68" t="s">
        <v>160</v>
      </c>
      <c r="BN17" s="68" t="s">
        <v>144</v>
      </c>
      <c r="BO17" s="68" t="s">
        <v>145</v>
      </c>
      <c r="BP17" s="68" t="s">
        <v>157</v>
      </c>
      <c r="BQ17" s="68" t="s">
        <v>151</v>
      </c>
      <c r="BR17" s="68" t="s">
        <v>141</v>
      </c>
      <c r="BS17" s="68" t="s">
        <v>158</v>
      </c>
    </row>
    <row r="18" spans="1:71" x14ac:dyDescent="0.25">
      <c r="A18">
        <v>1</v>
      </c>
      <c r="B18" s="73" t="s">
        <v>113</v>
      </c>
      <c r="C18" s="73">
        <v>77800</v>
      </c>
      <c r="D18" s="73">
        <v>500</v>
      </c>
      <c r="E18" s="74">
        <v>900</v>
      </c>
      <c r="F18" s="75">
        <v>3</v>
      </c>
      <c r="G18" s="75">
        <v>0.1</v>
      </c>
      <c r="H18" s="75">
        <v>0.35</v>
      </c>
      <c r="I18" s="75">
        <f t="shared" ref="I18:I23" si="40">C18*0.02</f>
        <v>1556</v>
      </c>
      <c r="J18" s="75">
        <v>150</v>
      </c>
      <c r="K18" s="74">
        <v>1500</v>
      </c>
      <c r="L18" s="104"/>
      <c r="M18" s="67">
        <v>9000</v>
      </c>
      <c r="N18" s="76">
        <v>2.5</v>
      </c>
      <c r="O18" s="77">
        <v>24500</v>
      </c>
      <c r="P18" s="76">
        <v>2.5</v>
      </c>
      <c r="Q18" s="77"/>
      <c r="R18" s="59">
        <v>3</v>
      </c>
      <c r="S18" s="78">
        <v>24500</v>
      </c>
      <c r="T18" s="59">
        <v>3</v>
      </c>
      <c r="U18" s="78">
        <v>12000</v>
      </c>
      <c r="V18" s="76"/>
      <c r="W18" s="78"/>
      <c r="X18" s="76"/>
      <c r="Y18" s="78"/>
      <c r="Z18" s="79">
        <v>4</v>
      </c>
      <c r="AA18" s="101"/>
      <c r="AB18" s="70">
        <v>10000</v>
      </c>
      <c r="AC18" s="93"/>
      <c r="AD18" s="92"/>
      <c r="AE18" s="93"/>
      <c r="AF18" s="92"/>
      <c r="AG18" s="93"/>
      <c r="AH18" s="92"/>
      <c r="AI18" s="93"/>
      <c r="AJ18" s="92"/>
      <c r="AK18" s="93"/>
      <c r="AL18" s="92"/>
      <c r="AM18" s="93"/>
      <c r="AN18" s="92"/>
      <c r="AO18" s="68"/>
      <c r="AP18" s="96"/>
      <c r="AQ18" s="72">
        <f>N18+P18+R18+T18+V18+X18</f>
        <v>11</v>
      </c>
      <c r="AR18" s="72">
        <f>O18+Q18+S18+U18+W18+Y18</f>
        <v>61000</v>
      </c>
      <c r="AS18" s="65">
        <v>7</v>
      </c>
      <c r="AT18" s="66">
        <f>AQ18*AS18*4*12</f>
        <v>3696</v>
      </c>
      <c r="AU18" s="66">
        <f>AT18*M18</f>
        <v>33264000</v>
      </c>
      <c r="AV18" s="67">
        <f>AT18*K18</f>
        <v>5544000</v>
      </c>
      <c r="AW18" s="67">
        <f>Z18*J18*AS18*4*12</f>
        <v>201600</v>
      </c>
      <c r="AX18" s="66">
        <f>AT18*E18</f>
        <v>3326400</v>
      </c>
      <c r="AY18" s="67">
        <f>AX18*F18</f>
        <v>9979200</v>
      </c>
      <c r="AZ18" s="67">
        <f>AT18*D18*H18</f>
        <v>646800</v>
      </c>
      <c r="BA18" s="67">
        <f>Z18*I18*AS18*4*12</f>
        <v>2091264</v>
      </c>
      <c r="BB18" s="66">
        <f>AR18*AS18*4*12</f>
        <v>20496000</v>
      </c>
      <c r="BC18" s="67">
        <f>BB18*G18</f>
        <v>2049600</v>
      </c>
      <c r="BD18" s="82">
        <f>BB18*$BD$17</f>
        <v>61488000</v>
      </c>
      <c r="BE18" s="82">
        <f>BB18*$BE$17</f>
        <v>40992000</v>
      </c>
      <c r="BF18" s="98"/>
      <c r="BG18" s="58">
        <f>AC18+AE18+AG18+AI18+AK18+AM18</f>
        <v>0</v>
      </c>
      <c r="BH18" s="90">
        <f>AD18+AF18+AH18+AJ18+AL18+AN18</f>
        <v>0</v>
      </c>
      <c r="BI18" s="68">
        <v>7</v>
      </c>
      <c r="BJ18" s="69">
        <f t="shared" ref="BJ18:BJ24" si="41">BG18*BI18*4*12</f>
        <v>0</v>
      </c>
      <c r="BK18" s="69">
        <f>BJ18*AB18</f>
        <v>0</v>
      </c>
      <c r="BL18" s="70">
        <f>BJ18*K18</f>
        <v>0</v>
      </c>
      <c r="BM18" s="70">
        <f>BI18*AO18*4*12*J18</f>
        <v>0</v>
      </c>
      <c r="BN18" s="69">
        <f>BJ18*E18</f>
        <v>0</v>
      </c>
      <c r="BO18" s="70">
        <f>BN18*F18</f>
        <v>0</v>
      </c>
      <c r="BP18" s="70">
        <f>BJ18*D18*H18</f>
        <v>0</v>
      </c>
      <c r="BQ18" s="70">
        <f>BI18*AO18*I18*4*12</f>
        <v>0</v>
      </c>
      <c r="BR18" s="69">
        <f>BH18*BI18*4*12</f>
        <v>0</v>
      </c>
      <c r="BS18" s="70">
        <f>BR18*G18</f>
        <v>0</v>
      </c>
    </row>
    <row r="19" spans="1:71" x14ac:dyDescent="0.25">
      <c r="A19">
        <v>1</v>
      </c>
      <c r="B19" s="73" t="s">
        <v>113</v>
      </c>
      <c r="C19" s="73">
        <v>77800</v>
      </c>
      <c r="D19" s="73">
        <v>500</v>
      </c>
      <c r="E19" s="74">
        <v>900</v>
      </c>
      <c r="F19" s="75">
        <v>3</v>
      </c>
      <c r="G19" s="75">
        <v>0.1</v>
      </c>
      <c r="H19" s="75">
        <v>0.35</v>
      </c>
      <c r="I19" s="75">
        <f t="shared" si="40"/>
        <v>1556</v>
      </c>
      <c r="J19" s="75">
        <v>150</v>
      </c>
      <c r="K19" s="74">
        <v>1500</v>
      </c>
      <c r="L19" s="104"/>
      <c r="M19" s="67">
        <v>9000</v>
      </c>
      <c r="N19" s="76">
        <v>2.5</v>
      </c>
      <c r="O19" s="77">
        <v>24500</v>
      </c>
      <c r="P19" s="77">
        <v>2.5</v>
      </c>
      <c r="Q19" s="77"/>
      <c r="R19" s="77">
        <v>3</v>
      </c>
      <c r="S19" s="77">
        <v>24500</v>
      </c>
      <c r="T19" s="59">
        <v>3</v>
      </c>
      <c r="U19" s="78">
        <v>12000</v>
      </c>
      <c r="V19" s="59"/>
      <c r="W19" s="59"/>
      <c r="X19" s="59"/>
      <c r="Y19" s="59"/>
      <c r="Z19" s="65">
        <v>4</v>
      </c>
      <c r="AA19" s="102"/>
      <c r="AB19" s="70">
        <v>10000</v>
      </c>
      <c r="AC19" s="62">
        <v>3</v>
      </c>
      <c r="AD19" s="94">
        <v>24500</v>
      </c>
      <c r="AE19" s="62">
        <v>3</v>
      </c>
      <c r="AF19" s="62">
        <v>12000</v>
      </c>
      <c r="AG19" s="62"/>
      <c r="AH19" s="62"/>
      <c r="AI19" s="62"/>
      <c r="AJ19" s="62"/>
      <c r="AK19" s="62"/>
      <c r="AL19" s="62"/>
      <c r="AM19" s="62"/>
      <c r="AN19" s="62"/>
      <c r="AO19" s="68">
        <v>2</v>
      </c>
      <c r="AP19" s="97"/>
      <c r="AQ19" s="72">
        <f t="shared" ref="AQ19:AQ24" si="42">N19+P19+R19+T19+V19+X19</f>
        <v>11</v>
      </c>
      <c r="AR19" s="72">
        <f>O19+Q19+S19+U19+W19+Y19</f>
        <v>61000</v>
      </c>
      <c r="AS19" s="65">
        <v>7</v>
      </c>
      <c r="AT19" s="66">
        <f t="shared" ref="AT19:AT24" si="43">AQ19*AS19*4*12</f>
        <v>3696</v>
      </c>
      <c r="AU19" s="66">
        <f t="shared" ref="AU19:AU24" si="44">AT19*M19</f>
        <v>33264000</v>
      </c>
      <c r="AV19" s="67">
        <f t="shared" ref="AV19:AV24" si="45">AT19*K19</f>
        <v>5544000</v>
      </c>
      <c r="AW19" s="67">
        <f t="shared" ref="AW19:AW24" si="46">Z19*J19*AS19*4*12</f>
        <v>201600</v>
      </c>
      <c r="AX19" s="66">
        <f t="shared" ref="AX19:AX24" si="47">AT19*E19</f>
        <v>3326400</v>
      </c>
      <c r="AY19" s="67">
        <f t="shared" ref="AY19:AY24" si="48">AX19*F19</f>
        <v>9979200</v>
      </c>
      <c r="AZ19" s="67">
        <f t="shared" ref="AZ19:AZ24" si="49">AT19*D19*H19</f>
        <v>646800</v>
      </c>
      <c r="BA19" s="67">
        <f t="shared" ref="BA19:BA24" si="50">Z19*I19*AS19*4*12</f>
        <v>2091264</v>
      </c>
      <c r="BB19" s="66">
        <f t="shared" ref="BB19:BB24" si="51">AR19*AS19*4*12</f>
        <v>20496000</v>
      </c>
      <c r="BC19" s="67">
        <f t="shared" ref="BC19:BC24" si="52">BB19*G19</f>
        <v>2049600</v>
      </c>
      <c r="BD19" s="82">
        <f t="shared" ref="BD19:BD24" si="53">BB19*$BD$17</f>
        <v>61488000</v>
      </c>
      <c r="BE19" s="82">
        <f t="shared" ref="BE19:BE24" si="54">BB19*$BE$17</f>
        <v>40992000</v>
      </c>
      <c r="BF19" s="98"/>
      <c r="BG19" s="58">
        <f t="shared" ref="BG19:BG24" si="55">AC19+AE19+AG19+AI19+AK19+AM19</f>
        <v>6</v>
      </c>
      <c r="BH19" s="90">
        <f>AD19+AF19+AH19+AJ19+AL19+AN19</f>
        <v>36500</v>
      </c>
      <c r="BI19" s="68">
        <v>7</v>
      </c>
      <c r="BJ19" s="69">
        <f t="shared" si="41"/>
        <v>2016</v>
      </c>
      <c r="BK19" s="69">
        <f>BJ19*AB19</f>
        <v>20160000</v>
      </c>
      <c r="BL19" s="70">
        <f>BJ19*K19</f>
        <v>3024000</v>
      </c>
      <c r="BM19" s="70">
        <f>BI19*AO19*4*12*J19</f>
        <v>100800</v>
      </c>
      <c r="BN19" s="69">
        <f t="shared" ref="BN19:BN24" si="56">BJ19*E19</f>
        <v>1814400</v>
      </c>
      <c r="BO19" s="70">
        <f t="shared" ref="BO19:BO24" si="57">BN19*F19</f>
        <v>5443200</v>
      </c>
      <c r="BP19" s="70">
        <f t="shared" ref="BP19:BP24" si="58">BJ19*D19*H19</f>
        <v>352800</v>
      </c>
      <c r="BQ19" s="70">
        <f t="shared" ref="BQ19:BQ24" si="59">BI19*AO19*I19*4*12</f>
        <v>1045632</v>
      </c>
      <c r="BR19" s="69">
        <f t="shared" ref="BR19:BR24" si="60">BH19*BI19*4*12</f>
        <v>12264000</v>
      </c>
      <c r="BS19" s="70">
        <f t="shared" ref="BS19:BS24" si="61">BR19*G19</f>
        <v>1226400</v>
      </c>
    </row>
    <row r="20" spans="1:71" x14ac:dyDescent="0.25">
      <c r="A20">
        <v>2</v>
      </c>
      <c r="B20" s="73" t="s">
        <v>113</v>
      </c>
      <c r="C20" s="73">
        <v>77800</v>
      </c>
      <c r="D20" s="73">
        <v>500</v>
      </c>
      <c r="E20" s="74">
        <v>900</v>
      </c>
      <c r="F20" s="75">
        <v>3</v>
      </c>
      <c r="G20" s="75">
        <v>0.1</v>
      </c>
      <c r="H20" s="75">
        <v>0.35</v>
      </c>
      <c r="I20" s="75">
        <f t="shared" si="40"/>
        <v>1556</v>
      </c>
      <c r="J20" s="75">
        <v>150</v>
      </c>
      <c r="K20" s="74">
        <v>1500</v>
      </c>
      <c r="L20" s="104"/>
      <c r="M20" s="67">
        <v>9000</v>
      </c>
      <c r="N20" s="77"/>
      <c r="O20" s="77"/>
      <c r="P20" s="77"/>
      <c r="Q20" s="77"/>
      <c r="R20" s="77"/>
      <c r="S20" s="77"/>
      <c r="T20" s="59"/>
      <c r="U20" s="78"/>
      <c r="V20" s="59"/>
      <c r="W20" s="59"/>
      <c r="X20" s="59"/>
      <c r="Y20" s="59"/>
      <c r="Z20" s="65"/>
      <c r="AA20" s="102"/>
      <c r="AB20" s="70">
        <v>10000</v>
      </c>
      <c r="AC20" s="62">
        <v>3</v>
      </c>
      <c r="AD20" s="62">
        <v>24500</v>
      </c>
      <c r="AE20" s="62">
        <v>3</v>
      </c>
      <c r="AF20" s="62">
        <v>12000</v>
      </c>
      <c r="AG20" s="62"/>
      <c r="AH20" s="62"/>
      <c r="AI20" s="62"/>
      <c r="AJ20" s="62"/>
      <c r="AK20" s="62"/>
      <c r="AL20" s="62"/>
      <c r="AM20" s="62"/>
      <c r="AN20" s="62"/>
      <c r="AO20" s="68">
        <v>2</v>
      </c>
      <c r="AP20" s="97"/>
      <c r="AQ20" s="72">
        <f t="shared" si="42"/>
        <v>0</v>
      </c>
      <c r="AR20" s="72">
        <f t="shared" ref="AR20:AR24" si="62">O20+Q20+S20+U20+W20+Y20</f>
        <v>0</v>
      </c>
      <c r="AS20" s="65"/>
      <c r="AT20" s="66">
        <f t="shared" si="43"/>
        <v>0</v>
      </c>
      <c r="AU20" s="66">
        <f t="shared" si="44"/>
        <v>0</v>
      </c>
      <c r="AV20" s="67">
        <f t="shared" si="45"/>
        <v>0</v>
      </c>
      <c r="AW20" s="67">
        <f t="shared" si="46"/>
        <v>0</v>
      </c>
      <c r="AX20" s="66">
        <f t="shared" si="47"/>
        <v>0</v>
      </c>
      <c r="AY20" s="67">
        <f t="shared" si="48"/>
        <v>0</v>
      </c>
      <c r="AZ20" s="67">
        <f t="shared" si="49"/>
        <v>0</v>
      </c>
      <c r="BA20" s="67">
        <f t="shared" si="50"/>
        <v>0</v>
      </c>
      <c r="BB20" s="66">
        <f t="shared" si="51"/>
        <v>0</v>
      </c>
      <c r="BC20" s="67">
        <f t="shared" si="52"/>
        <v>0</v>
      </c>
      <c r="BD20" s="82">
        <f t="shared" si="53"/>
        <v>0</v>
      </c>
      <c r="BE20" s="82">
        <f t="shared" si="54"/>
        <v>0</v>
      </c>
      <c r="BF20" s="98"/>
      <c r="BG20" s="58">
        <f t="shared" si="55"/>
        <v>6</v>
      </c>
      <c r="BH20" s="90">
        <f t="shared" ref="BH20:BH24" si="63">AE20+AG20+AI20+AK20+AM20+AO20</f>
        <v>5</v>
      </c>
      <c r="BI20" s="68">
        <v>7</v>
      </c>
      <c r="BJ20" s="69">
        <f t="shared" si="41"/>
        <v>2016</v>
      </c>
      <c r="BK20" s="69">
        <f t="shared" ref="BK20:BK24" si="64">BJ20*AB20</f>
        <v>20160000</v>
      </c>
      <c r="BL20" s="70">
        <f t="shared" ref="BL20:BL24" si="65">BJ20*K20</f>
        <v>3024000</v>
      </c>
      <c r="BM20" s="70">
        <f t="shared" ref="BM20:BM24" si="66">BI20*AO20*4*12*J20</f>
        <v>100800</v>
      </c>
      <c r="BN20" s="69">
        <f t="shared" si="56"/>
        <v>1814400</v>
      </c>
      <c r="BO20" s="70">
        <f t="shared" si="57"/>
        <v>5443200</v>
      </c>
      <c r="BP20" s="70">
        <f t="shared" si="58"/>
        <v>352800</v>
      </c>
      <c r="BQ20" s="70">
        <f t="shared" si="59"/>
        <v>1045632</v>
      </c>
      <c r="BR20" s="69">
        <f t="shared" si="60"/>
        <v>1680</v>
      </c>
      <c r="BS20" s="70">
        <f t="shared" si="61"/>
        <v>168</v>
      </c>
    </row>
    <row r="21" spans="1:71" x14ac:dyDescent="0.25">
      <c r="A21">
        <v>3</v>
      </c>
      <c r="B21" s="73" t="s">
        <v>113</v>
      </c>
      <c r="C21" s="73">
        <v>77800</v>
      </c>
      <c r="D21" s="73">
        <v>500</v>
      </c>
      <c r="E21" s="74">
        <v>900</v>
      </c>
      <c r="F21" s="75">
        <v>3</v>
      </c>
      <c r="G21" s="75">
        <v>0.1</v>
      </c>
      <c r="H21" s="75">
        <v>0.35</v>
      </c>
      <c r="I21" s="75">
        <f t="shared" si="40"/>
        <v>1556</v>
      </c>
      <c r="J21" s="75">
        <v>150</v>
      </c>
      <c r="K21" s="74">
        <v>1500</v>
      </c>
      <c r="L21" s="104"/>
      <c r="M21" s="67">
        <v>9000</v>
      </c>
      <c r="N21" s="77"/>
      <c r="O21" s="77"/>
      <c r="P21" s="77"/>
      <c r="Q21" s="77"/>
      <c r="R21" s="77"/>
      <c r="S21" s="77"/>
      <c r="T21" s="59"/>
      <c r="U21" s="78"/>
      <c r="V21" s="59"/>
      <c r="W21" s="59"/>
      <c r="X21" s="59"/>
      <c r="Y21" s="59"/>
      <c r="Z21" s="65"/>
      <c r="AA21" s="102"/>
      <c r="AB21" s="70">
        <v>10000</v>
      </c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8"/>
      <c r="AP21" s="97"/>
      <c r="AQ21" s="72">
        <f t="shared" si="42"/>
        <v>0</v>
      </c>
      <c r="AR21" s="72">
        <f t="shared" si="62"/>
        <v>0</v>
      </c>
      <c r="AS21" s="65"/>
      <c r="AT21" s="66">
        <f t="shared" si="43"/>
        <v>0</v>
      </c>
      <c r="AU21" s="66">
        <f t="shared" si="44"/>
        <v>0</v>
      </c>
      <c r="AV21" s="67">
        <f t="shared" si="45"/>
        <v>0</v>
      </c>
      <c r="AW21" s="67">
        <f t="shared" si="46"/>
        <v>0</v>
      </c>
      <c r="AX21" s="66">
        <f t="shared" si="47"/>
        <v>0</v>
      </c>
      <c r="AY21" s="67">
        <f t="shared" si="48"/>
        <v>0</v>
      </c>
      <c r="AZ21" s="67">
        <f t="shared" si="49"/>
        <v>0</v>
      </c>
      <c r="BA21" s="67">
        <f t="shared" si="50"/>
        <v>0</v>
      </c>
      <c r="BB21" s="66">
        <f t="shared" si="51"/>
        <v>0</v>
      </c>
      <c r="BC21" s="67">
        <f t="shared" si="52"/>
        <v>0</v>
      </c>
      <c r="BD21" s="82">
        <f t="shared" si="53"/>
        <v>0</v>
      </c>
      <c r="BE21" s="82">
        <f t="shared" si="54"/>
        <v>0</v>
      </c>
      <c r="BF21" s="98"/>
      <c r="BG21" s="58">
        <f t="shared" si="55"/>
        <v>0</v>
      </c>
      <c r="BH21" s="90">
        <f t="shared" si="63"/>
        <v>0</v>
      </c>
      <c r="BI21" s="68"/>
      <c r="BJ21" s="69">
        <f t="shared" si="41"/>
        <v>0</v>
      </c>
      <c r="BK21" s="69">
        <f t="shared" si="64"/>
        <v>0</v>
      </c>
      <c r="BL21" s="70">
        <f t="shared" si="65"/>
        <v>0</v>
      </c>
      <c r="BM21" s="70">
        <f t="shared" si="66"/>
        <v>0</v>
      </c>
      <c r="BN21" s="69">
        <f t="shared" si="56"/>
        <v>0</v>
      </c>
      <c r="BO21" s="70">
        <f t="shared" si="57"/>
        <v>0</v>
      </c>
      <c r="BP21" s="70">
        <f t="shared" si="58"/>
        <v>0</v>
      </c>
      <c r="BQ21" s="70">
        <f t="shared" si="59"/>
        <v>0</v>
      </c>
      <c r="BR21" s="69">
        <f t="shared" si="60"/>
        <v>0</v>
      </c>
      <c r="BS21" s="70">
        <f t="shared" si="61"/>
        <v>0</v>
      </c>
    </row>
    <row r="22" spans="1:71" x14ac:dyDescent="0.25">
      <c r="A22">
        <v>4</v>
      </c>
      <c r="B22" s="73" t="s">
        <v>113</v>
      </c>
      <c r="C22" s="73">
        <v>77800</v>
      </c>
      <c r="D22" s="73">
        <v>500</v>
      </c>
      <c r="E22" s="74">
        <v>900</v>
      </c>
      <c r="F22" s="75">
        <v>3</v>
      </c>
      <c r="G22" s="75">
        <v>0.1</v>
      </c>
      <c r="H22" s="75">
        <v>0.35</v>
      </c>
      <c r="I22" s="75">
        <f t="shared" si="40"/>
        <v>1556</v>
      </c>
      <c r="J22" s="75">
        <v>150</v>
      </c>
      <c r="K22" s="74">
        <v>1500</v>
      </c>
      <c r="L22" s="104"/>
      <c r="M22" s="67">
        <v>9000</v>
      </c>
      <c r="N22" s="77"/>
      <c r="O22" s="77"/>
      <c r="P22" s="77"/>
      <c r="Q22" s="77"/>
      <c r="R22" s="77"/>
      <c r="S22" s="77"/>
      <c r="T22" s="59"/>
      <c r="U22" s="78"/>
      <c r="V22" s="59"/>
      <c r="W22" s="59"/>
      <c r="X22" s="59"/>
      <c r="Y22" s="59"/>
      <c r="Z22" s="65"/>
      <c r="AA22" s="102"/>
      <c r="AB22" s="70">
        <v>10000</v>
      </c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8"/>
      <c r="AP22" s="97"/>
      <c r="AQ22" s="72">
        <f t="shared" si="42"/>
        <v>0</v>
      </c>
      <c r="AR22" s="72">
        <f t="shared" si="62"/>
        <v>0</v>
      </c>
      <c r="AS22" s="65"/>
      <c r="AT22" s="66">
        <f t="shared" si="43"/>
        <v>0</v>
      </c>
      <c r="AU22" s="66">
        <f t="shared" si="44"/>
        <v>0</v>
      </c>
      <c r="AV22" s="67">
        <f t="shared" si="45"/>
        <v>0</v>
      </c>
      <c r="AW22" s="67">
        <f t="shared" si="46"/>
        <v>0</v>
      </c>
      <c r="AX22" s="66">
        <f t="shared" si="47"/>
        <v>0</v>
      </c>
      <c r="AY22" s="67">
        <f t="shared" si="48"/>
        <v>0</v>
      </c>
      <c r="AZ22" s="67">
        <f t="shared" si="49"/>
        <v>0</v>
      </c>
      <c r="BA22" s="67">
        <f t="shared" si="50"/>
        <v>0</v>
      </c>
      <c r="BB22" s="66">
        <f t="shared" si="51"/>
        <v>0</v>
      </c>
      <c r="BC22" s="67">
        <f t="shared" si="52"/>
        <v>0</v>
      </c>
      <c r="BD22" s="82">
        <f t="shared" si="53"/>
        <v>0</v>
      </c>
      <c r="BE22" s="82">
        <f t="shared" si="54"/>
        <v>0</v>
      </c>
      <c r="BF22" s="98"/>
      <c r="BG22" s="58">
        <f t="shared" si="55"/>
        <v>0</v>
      </c>
      <c r="BH22" s="90">
        <f t="shared" si="63"/>
        <v>0</v>
      </c>
      <c r="BI22" s="68"/>
      <c r="BJ22" s="69">
        <f t="shared" si="41"/>
        <v>0</v>
      </c>
      <c r="BK22" s="69">
        <f t="shared" si="64"/>
        <v>0</v>
      </c>
      <c r="BL22" s="70">
        <f t="shared" si="65"/>
        <v>0</v>
      </c>
      <c r="BM22" s="70">
        <f t="shared" si="66"/>
        <v>0</v>
      </c>
      <c r="BN22" s="69">
        <f t="shared" si="56"/>
        <v>0</v>
      </c>
      <c r="BO22" s="70">
        <f t="shared" si="57"/>
        <v>0</v>
      </c>
      <c r="BP22" s="70">
        <f t="shared" si="58"/>
        <v>0</v>
      </c>
      <c r="BQ22" s="70">
        <f t="shared" si="59"/>
        <v>0</v>
      </c>
      <c r="BR22" s="69">
        <f t="shared" si="60"/>
        <v>0</v>
      </c>
      <c r="BS22" s="70">
        <f t="shared" si="61"/>
        <v>0</v>
      </c>
    </row>
    <row r="23" spans="1:71" x14ac:dyDescent="0.25">
      <c r="A23">
        <v>3</v>
      </c>
      <c r="B23" s="73" t="s">
        <v>114</v>
      </c>
      <c r="C23" s="73">
        <v>260800</v>
      </c>
      <c r="D23" s="73">
        <v>500</v>
      </c>
      <c r="E23" s="74">
        <v>1800</v>
      </c>
      <c r="F23" s="75">
        <v>3</v>
      </c>
      <c r="G23" s="75">
        <v>0.1</v>
      </c>
      <c r="H23" s="75">
        <v>0.35</v>
      </c>
      <c r="I23" s="75">
        <f t="shared" si="40"/>
        <v>5216</v>
      </c>
      <c r="J23" s="75">
        <v>350</v>
      </c>
      <c r="K23" s="74">
        <v>6500</v>
      </c>
      <c r="L23" s="104"/>
      <c r="M23" s="67">
        <v>18000</v>
      </c>
      <c r="N23" s="77"/>
      <c r="O23" s="77"/>
      <c r="P23" s="77"/>
      <c r="Q23" s="77"/>
      <c r="R23" s="77"/>
      <c r="S23" s="77"/>
      <c r="T23" s="59"/>
      <c r="U23" s="78"/>
      <c r="V23" s="59"/>
      <c r="W23" s="59"/>
      <c r="X23" s="59"/>
      <c r="Y23" s="59"/>
      <c r="Z23" s="65"/>
      <c r="AA23" s="102"/>
      <c r="AB23" s="70">
        <v>20000</v>
      </c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8"/>
      <c r="AP23" s="97"/>
      <c r="AQ23" s="72">
        <f t="shared" si="42"/>
        <v>0</v>
      </c>
      <c r="AR23" s="72">
        <f t="shared" si="62"/>
        <v>0</v>
      </c>
      <c r="AS23" s="65"/>
      <c r="AT23" s="66">
        <f t="shared" si="43"/>
        <v>0</v>
      </c>
      <c r="AU23" s="66">
        <f t="shared" si="44"/>
        <v>0</v>
      </c>
      <c r="AV23" s="67">
        <f t="shared" si="45"/>
        <v>0</v>
      </c>
      <c r="AW23" s="67">
        <f t="shared" si="46"/>
        <v>0</v>
      </c>
      <c r="AX23" s="66">
        <f t="shared" si="47"/>
        <v>0</v>
      </c>
      <c r="AY23" s="67">
        <f t="shared" si="48"/>
        <v>0</v>
      </c>
      <c r="AZ23" s="67">
        <f t="shared" si="49"/>
        <v>0</v>
      </c>
      <c r="BA23" s="67">
        <f t="shared" si="50"/>
        <v>0</v>
      </c>
      <c r="BB23" s="66">
        <f t="shared" si="51"/>
        <v>0</v>
      </c>
      <c r="BC23" s="67">
        <f t="shared" si="52"/>
        <v>0</v>
      </c>
      <c r="BD23" s="82">
        <f t="shared" si="53"/>
        <v>0</v>
      </c>
      <c r="BE23" s="82">
        <f t="shared" si="54"/>
        <v>0</v>
      </c>
      <c r="BF23" s="98"/>
      <c r="BG23" s="58">
        <f t="shared" si="55"/>
        <v>0</v>
      </c>
      <c r="BH23" s="90">
        <f t="shared" si="63"/>
        <v>0</v>
      </c>
      <c r="BI23" s="68"/>
      <c r="BJ23" s="69">
        <f t="shared" si="41"/>
        <v>0</v>
      </c>
      <c r="BK23" s="69">
        <f t="shared" si="64"/>
        <v>0</v>
      </c>
      <c r="BL23" s="70">
        <f t="shared" si="65"/>
        <v>0</v>
      </c>
      <c r="BM23" s="70">
        <f t="shared" si="66"/>
        <v>0</v>
      </c>
      <c r="BN23" s="69">
        <f t="shared" si="56"/>
        <v>0</v>
      </c>
      <c r="BO23" s="70">
        <f t="shared" si="57"/>
        <v>0</v>
      </c>
      <c r="BP23" s="70">
        <f t="shared" si="58"/>
        <v>0</v>
      </c>
      <c r="BQ23" s="70">
        <f t="shared" si="59"/>
        <v>0</v>
      </c>
      <c r="BR23" s="69">
        <f t="shared" si="60"/>
        <v>0</v>
      </c>
      <c r="BS23" s="70">
        <f t="shared" si="61"/>
        <v>0</v>
      </c>
    </row>
    <row r="24" spans="1:71" x14ac:dyDescent="0.25">
      <c r="A24">
        <v>4</v>
      </c>
      <c r="B24" s="73" t="s">
        <v>114</v>
      </c>
      <c r="C24" s="73">
        <v>260800</v>
      </c>
      <c r="D24" s="73">
        <v>500</v>
      </c>
      <c r="E24" s="74">
        <v>1800</v>
      </c>
      <c r="F24" s="75">
        <v>3</v>
      </c>
      <c r="G24" s="75">
        <v>0.1</v>
      </c>
      <c r="H24" s="75">
        <v>0.35</v>
      </c>
      <c r="I24" s="75">
        <f>C24*0.02</f>
        <v>5216</v>
      </c>
      <c r="J24" s="75">
        <v>350</v>
      </c>
      <c r="K24" s="74">
        <v>6500</v>
      </c>
      <c r="L24" s="104"/>
      <c r="M24" s="67">
        <v>18000</v>
      </c>
      <c r="N24" s="77"/>
      <c r="O24" s="77"/>
      <c r="P24" s="77"/>
      <c r="Q24" s="77"/>
      <c r="R24" s="77"/>
      <c r="S24" s="77"/>
      <c r="T24" s="59"/>
      <c r="U24" s="78"/>
      <c r="V24" s="59"/>
      <c r="W24" s="59"/>
      <c r="X24" s="59"/>
      <c r="Y24" s="59"/>
      <c r="Z24" s="65"/>
      <c r="AA24" s="102"/>
      <c r="AB24" s="70">
        <v>20000</v>
      </c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8"/>
      <c r="AP24" s="97"/>
      <c r="AQ24" s="72">
        <f t="shared" si="42"/>
        <v>0</v>
      </c>
      <c r="AR24" s="72">
        <f t="shared" si="62"/>
        <v>0</v>
      </c>
      <c r="AS24" s="65"/>
      <c r="AT24" s="66">
        <f t="shared" si="43"/>
        <v>0</v>
      </c>
      <c r="AU24" s="66">
        <f t="shared" si="44"/>
        <v>0</v>
      </c>
      <c r="AV24" s="67">
        <f t="shared" si="45"/>
        <v>0</v>
      </c>
      <c r="AW24" s="67">
        <f t="shared" si="46"/>
        <v>0</v>
      </c>
      <c r="AX24" s="66">
        <f t="shared" si="47"/>
        <v>0</v>
      </c>
      <c r="AY24" s="67">
        <f t="shared" si="48"/>
        <v>0</v>
      </c>
      <c r="AZ24" s="67">
        <f t="shared" si="49"/>
        <v>0</v>
      </c>
      <c r="BA24" s="67">
        <f t="shared" si="50"/>
        <v>0</v>
      </c>
      <c r="BB24" s="66">
        <f t="shared" si="51"/>
        <v>0</v>
      </c>
      <c r="BC24" s="67">
        <f t="shared" si="52"/>
        <v>0</v>
      </c>
      <c r="BD24" s="82">
        <f t="shared" si="53"/>
        <v>0</v>
      </c>
      <c r="BE24" s="82">
        <f t="shared" si="54"/>
        <v>0</v>
      </c>
      <c r="BF24" s="98"/>
      <c r="BG24" s="58">
        <f t="shared" si="55"/>
        <v>0</v>
      </c>
      <c r="BH24" s="90">
        <f t="shared" si="63"/>
        <v>0</v>
      </c>
      <c r="BI24" s="68"/>
      <c r="BJ24" s="69">
        <f t="shared" si="41"/>
        <v>0</v>
      </c>
      <c r="BK24" s="69">
        <f t="shared" si="64"/>
        <v>0</v>
      </c>
      <c r="BL24" s="70">
        <f t="shared" si="65"/>
        <v>0</v>
      </c>
      <c r="BM24" s="70">
        <f t="shared" si="66"/>
        <v>0</v>
      </c>
      <c r="BN24" s="69">
        <f t="shared" si="56"/>
        <v>0</v>
      </c>
      <c r="BO24" s="70">
        <f t="shared" si="57"/>
        <v>0</v>
      </c>
      <c r="BP24" s="70">
        <f t="shared" si="58"/>
        <v>0</v>
      </c>
      <c r="BQ24" s="70">
        <f t="shared" si="59"/>
        <v>0</v>
      </c>
      <c r="BR24" s="69">
        <f t="shared" si="60"/>
        <v>0</v>
      </c>
      <c r="BS24" s="70">
        <f t="shared" si="61"/>
        <v>0</v>
      </c>
    </row>
    <row r="25" spans="1:71" x14ac:dyDescent="0.25">
      <c r="AA25" s="98"/>
      <c r="AP25" s="98"/>
      <c r="AQ25" s="82">
        <f>SUM(AQ18:AQ24)</f>
        <v>22</v>
      </c>
      <c r="AR25" s="61"/>
      <c r="AS25" s="60"/>
      <c r="AT25" s="82">
        <f t="shared" ref="AT25" si="67">SUM(AT18:AT24)</f>
        <v>7392</v>
      </c>
      <c r="AU25" s="109">
        <f t="shared" ref="AU25" si="68">SUM(AU18:AU24)</f>
        <v>66528000</v>
      </c>
      <c r="AV25" s="83">
        <f t="shared" ref="AV25" si="69">SUM(AV18:AV24)</f>
        <v>11088000</v>
      </c>
      <c r="AW25" s="83">
        <f t="shared" ref="AW25" si="70">SUM(AW18:AW24)</f>
        <v>403200</v>
      </c>
      <c r="AX25" s="84">
        <f t="shared" ref="AX25" si="71">SUM(AX18:AX24)</f>
        <v>6652800</v>
      </c>
      <c r="AY25" s="83">
        <f>SUM(AY18:AY24)</f>
        <v>19958400</v>
      </c>
      <c r="AZ25" s="83">
        <f t="shared" ref="AZ25" si="72">SUM(AZ18:AZ24)</f>
        <v>1293600</v>
      </c>
      <c r="BA25" s="83">
        <f t="shared" ref="BA25" si="73">SUM(BA18:BA24)</f>
        <v>4182528</v>
      </c>
      <c r="BB25" s="82">
        <f t="shared" ref="BB25" si="74">SUM(BB18:BB24)</f>
        <v>40992000</v>
      </c>
      <c r="BC25" s="82">
        <f t="shared" ref="BC25" si="75">SUM(BC18:BC24)</f>
        <v>4099200</v>
      </c>
      <c r="BD25" s="82">
        <f t="shared" ref="BD25" si="76">SUM(BD18:BD24)</f>
        <v>122976000</v>
      </c>
      <c r="BE25" s="82">
        <f t="shared" ref="BE25" si="77">SUM(BE18:BE24)</f>
        <v>81984000</v>
      </c>
      <c r="BF25" s="98"/>
      <c r="BG25" s="85">
        <f>SUM(BG18:BG24)</f>
        <v>12</v>
      </c>
      <c r="BH25" s="63"/>
      <c r="BI25" s="64"/>
      <c r="BJ25" s="85">
        <f t="shared" ref="BJ25" si="78">SUM(BJ18:BJ24)</f>
        <v>4032</v>
      </c>
      <c r="BK25" s="108">
        <f t="shared" ref="BK25" si="79">SUM(BK18:BK24)</f>
        <v>40320000</v>
      </c>
      <c r="BL25" s="86">
        <f t="shared" ref="BL25" si="80">SUM(BL18:BL24)</f>
        <v>6048000</v>
      </c>
      <c r="BM25" s="86">
        <f t="shared" ref="BM25" si="81">SUM(BM18:BM24)</f>
        <v>201600</v>
      </c>
      <c r="BN25" s="91">
        <f t="shared" ref="BN25" si="82">SUM(BN18:BN24)</f>
        <v>3628800</v>
      </c>
      <c r="BO25" s="86">
        <f>SUM(BO18:BO24)</f>
        <v>10886400</v>
      </c>
      <c r="BP25" s="86">
        <f t="shared" ref="BP25" si="83">SUM(BP18:BP24)</f>
        <v>705600</v>
      </c>
      <c r="BQ25" s="86">
        <f t="shared" ref="BQ25" si="84">SUM(BQ18:BQ24)</f>
        <v>2091264</v>
      </c>
      <c r="BR25" s="85">
        <f t="shared" ref="BR25" si="85">SUM(BR18:BR24)</f>
        <v>12265680</v>
      </c>
      <c r="BS25" s="85">
        <f>SUM(BS18:BS24)</f>
        <v>1226568</v>
      </c>
    </row>
    <row r="26" spans="1:71" x14ac:dyDescent="0.25">
      <c r="AQ26" s="61"/>
      <c r="AR26" s="61"/>
      <c r="AS26" s="60"/>
      <c r="AT26" s="61"/>
      <c r="AU26" s="112">
        <f>AV25+AW25+AY25+AZ25+BA25+BC25</f>
        <v>41024928</v>
      </c>
      <c r="AV26" s="61"/>
      <c r="AW26" s="61"/>
      <c r="AX26" s="61"/>
      <c r="AY26" s="61"/>
      <c r="AZ26" s="61"/>
      <c r="BA26" s="61"/>
      <c r="BB26" s="61"/>
      <c r="BC26" s="61"/>
      <c r="BD26" s="61"/>
      <c r="BE26" s="87">
        <f>BD25+BE25+AU25</f>
        <v>271488000</v>
      </c>
      <c r="BF26" s="98"/>
      <c r="BJ26" s="49">
        <f>BJ25+AT25</f>
        <v>11424</v>
      </c>
      <c r="BK26" s="105" t="s">
        <v>162</v>
      </c>
      <c r="BL26" s="105">
        <f>BL25+AV25</f>
        <v>17136000</v>
      </c>
      <c r="BN26" s="106" t="s">
        <v>161</v>
      </c>
      <c r="BO26" s="107">
        <f>BO25+AY25</f>
        <v>30844800</v>
      </c>
      <c r="BP26" s="110" t="s">
        <v>163</v>
      </c>
      <c r="BQ26" s="111">
        <f>BQ25+BP25+BM25+BS25+BC25+BA25+AZ25+AW25</f>
        <v>14203560</v>
      </c>
    </row>
    <row r="30" spans="1:71" x14ac:dyDescent="0.25">
      <c r="L30" s="98"/>
      <c r="M30" s="130" t="s">
        <v>132</v>
      </c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60"/>
      <c r="AA30" s="99"/>
      <c r="AB30" s="128" t="s">
        <v>133</v>
      </c>
      <c r="AC30" s="128"/>
      <c r="AD30" s="128"/>
      <c r="AE30" s="128"/>
      <c r="AF30" s="128"/>
      <c r="AG30" s="128"/>
      <c r="AH30" s="128"/>
      <c r="AI30" s="128"/>
      <c r="AJ30" s="128"/>
      <c r="AK30" s="128"/>
      <c r="AL30" s="128"/>
      <c r="AM30" s="128"/>
      <c r="AN30" s="128"/>
      <c r="AO30" s="128"/>
      <c r="AP30" s="95"/>
      <c r="AQ30" s="129" t="s">
        <v>132</v>
      </c>
      <c r="AR30" s="129"/>
      <c r="AS30" s="129"/>
      <c r="AT30" s="129"/>
      <c r="AU30" s="129"/>
      <c r="AV30" s="129"/>
      <c r="AW30" s="129"/>
      <c r="AX30" s="129"/>
      <c r="AY30" s="129"/>
      <c r="AZ30" s="129"/>
      <c r="BA30" s="129"/>
      <c r="BB30" s="129"/>
      <c r="BC30" s="129"/>
      <c r="BD30" s="129"/>
      <c r="BE30" s="129"/>
      <c r="BF30" s="98"/>
      <c r="BG30" s="128" t="s">
        <v>132</v>
      </c>
      <c r="BH30" s="128"/>
      <c r="BI30" s="128"/>
      <c r="BJ30" s="128"/>
      <c r="BK30" s="128"/>
      <c r="BL30" s="128"/>
      <c r="BM30" s="128"/>
      <c r="BN30" s="128"/>
      <c r="BO30" s="128"/>
      <c r="BP30" s="128"/>
      <c r="BQ30" s="128"/>
      <c r="BR30" s="128"/>
      <c r="BS30" s="128"/>
    </row>
    <row r="31" spans="1:71" x14ac:dyDescent="0.25">
      <c r="B31" s="73"/>
      <c r="C31" s="73"/>
      <c r="D31" s="73"/>
      <c r="E31" s="73" t="s">
        <v>137</v>
      </c>
      <c r="F31" s="73"/>
      <c r="G31" s="73"/>
      <c r="H31" s="73"/>
      <c r="I31" s="73"/>
      <c r="J31" s="73"/>
      <c r="K31" s="73" t="s">
        <v>135</v>
      </c>
      <c r="L31" s="103"/>
      <c r="M31" s="131" t="s">
        <v>149</v>
      </c>
      <c r="N31" s="130" t="s">
        <v>124</v>
      </c>
      <c r="O31" s="130"/>
      <c r="P31" s="130" t="s">
        <v>125</v>
      </c>
      <c r="Q31" s="130"/>
      <c r="R31" s="130" t="s">
        <v>126</v>
      </c>
      <c r="S31" s="130"/>
      <c r="T31" s="130" t="s">
        <v>127</v>
      </c>
      <c r="U31" s="130"/>
      <c r="V31" s="130" t="s">
        <v>128</v>
      </c>
      <c r="W31" s="130"/>
      <c r="X31" s="130" t="s">
        <v>129</v>
      </c>
      <c r="Y31" s="130"/>
      <c r="Z31" s="131" t="s">
        <v>153</v>
      </c>
      <c r="AA31" s="100"/>
      <c r="AB31" s="132" t="s">
        <v>150</v>
      </c>
      <c r="AC31" s="128" t="s">
        <v>124</v>
      </c>
      <c r="AD31" s="128"/>
      <c r="AE31" s="128" t="s">
        <v>125</v>
      </c>
      <c r="AF31" s="128"/>
      <c r="AG31" s="128" t="s">
        <v>126</v>
      </c>
      <c r="AH31" s="128"/>
      <c r="AI31" s="128" t="s">
        <v>127</v>
      </c>
      <c r="AJ31" s="128"/>
      <c r="AK31" s="128" t="s">
        <v>128</v>
      </c>
      <c r="AL31" s="128"/>
      <c r="AM31" s="128" t="s">
        <v>129</v>
      </c>
      <c r="AN31" s="128"/>
      <c r="AO31" s="88"/>
      <c r="AP31" s="95"/>
      <c r="AQ31" s="129" t="s">
        <v>139</v>
      </c>
      <c r="AR31" s="129"/>
      <c r="AS31" s="129" t="s">
        <v>138</v>
      </c>
      <c r="AT31" s="129"/>
      <c r="AU31" s="129"/>
      <c r="AV31" s="129"/>
      <c r="AW31" s="129"/>
      <c r="AX31" s="129"/>
      <c r="AY31" s="129"/>
      <c r="AZ31" s="129"/>
      <c r="BA31" s="129"/>
      <c r="BB31" s="129"/>
      <c r="BC31" s="80"/>
      <c r="BD31" s="80" t="s">
        <v>142</v>
      </c>
      <c r="BE31" s="81" t="s">
        <v>143</v>
      </c>
      <c r="BF31" s="98"/>
      <c r="BG31" s="128" t="s">
        <v>139</v>
      </c>
      <c r="BH31" s="128"/>
      <c r="BI31" s="128" t="s">
        <v>138</v>
      </c>
      <c r="BJ31" s="128"/>
      <c r="BK31" s="128"/>
      <c r="BL31" s="128"/>
      <c r="BM31" s="128"/>
      <c r="BN31" s="128"/>
      <c r="BO31" s="128"/>
      <c r="BP31" s="128"/>
      <c r="BQ31" s="128"/>
      <c r="BR31" s="128"/>
      <c r="BS31" s="88"/>
    </row>
    <row r="32" spans="1:71" x14ac:dyDescent="0.25">
      <c r="B32" s="73"/>
      <c r="C32" s="73" t="s">
        <v>154</v>
      </c>
      <c r="D32" s="73" t="s">
        <v>155</v>
      </c>
      <c r="E32" s="73" t="s">
        <v>134</v>
      </c>
      <c r="F32" s="73" t="s">
        <v>146</v>
      </c>
      <c r="G32" s="73" t="s">
        <v>147</v>
      </c>
      <c r="H32" s="73" t="s">
        <v>148</v>
      </c>
      <c r="I32" s="73" t="s">
        <v>151</v>
      </c>
      <c r="J32" s="73" t="s">
        <v>152</v>
      </c>
      <c r="K32" s="73" t="s">
        <v>136</v>
      </c>
      <c r="L32" s="103"/>
      <c r="M32" s="131"/>
      <c r="N32" s="60" t="s">
        <v>130</v>
      </c>
      <c r="O32" s="60" t="s">
        <v>131</v>
      </c>
      <c r="P32" s="60" t="s">
        <v>130</v>
      </c>
      <c r="Q32" s="60" t="s">
        <v>131</v>
      </c>
      <c r="R32" s="60" t="s">
        <v>130</v>
      </c>
      <c r="S32" s="60" t="s">
        <v>131</v>
      </c>
      <c r="T32" s="60" t="s">
        <v>130</v>
      </c>
      <c r="U32" s="60" t="s">
        <v>131</v>
      </c>
      <c r="V32" s="60" t="s">
        <v>130</v>
      </c>
      <c r="W32" s="60" t="s">
        <v>131</v>
      </c>
      <c r="X32" s="60" t="s">
        <v>130</v>
      </c>
      <c r="Y32" s="60" t="s">
        <v>131</v>
      </c>
      <c r="Z32" s="131"/>
      <c r="AA32" s="100"/>
      <c r="AB32" s="132"/>
      <c r="AC32" s="88" t="s">
        <v>130</v>
      </c>
      <c r="AD32" s="88" t="s">
        <v>131</v>
      </c>
      <c r="AE32" s="88" t="s">
        <v>130</v>
      </c>
      <c r="AF32" s="88" t="s">
        <v>131</v>
      </c>
      <c r="AG32" s="88" t="s">
        <v>130</v>
      </c>
      <c r="AH32" s="88" t="s">
        <v>131</v>
      </c>
      <c r="AI32" s="88" t="s">
        <v>130</v>
      </c>
      <c r="AJ32" s="88" t="s">
        <v>131</v>
      </c>
      <c r="AK32" s="88" t="s">
        <v>130</v>
      </c>
      <c r="AL32" s="88" t="s">
        <v>131</v>
      </c>
      <c r="AM32" s="88" t="s">
        <v>130</v>
      </c>
      <c r="AN32" s="88" t="s">
        <v>131</v>
      </c>
      <c r="AO32" s="88" t="s">
        <v>153</v>
      </c>
      <c r="AP32" s="95"/>
      <c r="AQ32" s="71" t="s">
        <v>130</v>
      </c>
      <c r="AR32" s="71" t="s">
        <v>131</v>
      </c>
      <c r="AS32" s="65" t="s">
        <v>156</v>
      </c>
      <c r="AT32" s="65" t="s">
        <v>130</v>
      </c>
      <c r="AU32" s="65" t="s">
        <v>140</v>
      </c>
      <c r="AV32" s="65" t="s">
        <v>159</v>
      </c>
      <c r="AW32" s="65" t="s">
        <v>160</v>
      </c>
      <c r="AX32" s="65" t="s">
        <v>144</v>
      </c>
      <c r="AY32" s="65" t="s">
        <v>145</v>
      </c>
      <c r="AZ32" s="65" t="s">
        <v>157</v>
      </c>
      <c r="BA32" s="65" t="s">
        <v>151</v>
      </c>
      <c r="BB32" s="65" t="s">
        <v>141</v>
      </c>
      <c r="BC32" s="65" t="s">
        <v>158</v>
      </c>
      <c r="BD32" s="61">
        <v>3</v>
      </c>
      <c r="BE32" s="61">
        <v>2</v>
      </c>
      <c r="BF32" s="98"/>
      <c r="BG32" s="89" t="s">
        <v>130</v>
      </c>
      <c r="BH32" s="89" t="s">
        <v>131</v>
      </c>
      <c r="BI32" s="68" t="s">
        <v>156</v>
      </c>
      <c r="BJ32" s="68" t="s">
        <v>130</v>
      </c>
      <c r="BK32" s="68" t="s">
        <v>140</v>
      </c>
      <c r="BL32" s="68" t="s">
        <v>159</v>
      </c>
      <c r="BM32" s="68" t="s">
        <v>160</v>
      </c>
      <c r="BN32" s="68" t="s">
        <v>144</v>
      </c>
      <c r="BO32" s="68" t="s">
        <v>145</v>
      </c>
      <c r="BP32" s="68" t="s">
        <v>157</v>
      </c>
      <c r="BQ32" s="68" t="s">
        <v>151</v>
      </c>
      <c r="BR32" s="68" t="s">
        <v>141</v>
      </c>
      <c r="BS32" s="68" t="s">
        <v>158</v>
      </c>
    </row>
    <row r="33" spans="1:71" x14ac:dyDescent="0.25">
      <c r="A33">
        <v>1</v>
      </c>
      <c r="B33" s="73" t="s">
        <v>113</v>
      </c>
      <c r="C33" s="73">
        <v>77800</v>
      </c>
      <c r="D33" s="73">
        <v>500</v>
      </c>
      <c r="E33" s="74">
        <v>900</v>
      </c>
      <c r="F33" s="75">
        <v>3</v>
      </c>
      <c r="G33" s="75">
        <v>0.1</v>
      </c>
      <c r="H33" s="75">
        <v>0.35</v>
      </c>
      <c r="I33" s="75">
        <f t="shared" ref="I33:I38" si="86">C33*0.02</f>
        <v>1556</v>
      </c>
      <c r="J33" s="75">
        <v>150</v>
      </c>
      <c r="K33" s="74">
        <v>1500</v>
      </c>
      <c r="L33" s="104"/>
      <c r="M33" s="67">
        <v>9000</v>
      </c>
      <c r="N33" s="76">
        <v>2.5</v>
      </c>
      <c r="O33" s="77">
        <v>24500</v>
      </c>
      <c r="P33" s="76">
        <v>2.5</v>
      </c>
      <c r="Q33" s="77"/>
      <c r="R33" s="59">
        <v>3</v>
      </c>
      <c r="S33" s="78">
        <v>24500</v>
      </c>
      <c r="T33" s="59">
        <v>3</v>
      </c>
      <c r="U33" s="78">
        <v>12000</v>
      </c>
      <c r="V33" s="76"/>
      <c r="W33" s="78"/>
      <c r="X33" s="76"/>
      <c r="Y33" s="78"/>
      <c r="Z33" s="79">
        <v>4</v>
      </c>
      <c r="AA33" s="101"/>
      <c r="AB33" s="70">
        <v>10000</v>
      </c>
      <c r="AC33" s="62">
        <v>3</v>
      </c>
      <c r="AD33" s="94">
        <v>24500</v>
      </c>
      <c r="AE33" s="62"/>
      <c r="AF33" s="62"/>
      <c r="AG33" s="93"/>
      <c r="AH33" s="92"/>
      <c r="AI33" s="93"/>
      <c r="AJ33" s="92"/>
      <c r="AK33" s="93"/>
      <c r="AL33" s="92"/>
      <c r="AM33" s="93"/>
      <c r="AN33" s="92"/>
      <c r="AO33" s="68">
        <v>1</v>
      </c>
      <c r="AP33" s="96"/>
      <c r="AQ33" s="72">
        <f>N33+P33+R33+T33+V33+X33</f>
        <v>11</v>
      </c>
      <c r="AR33" s="72">
        <f>O33+Q33+S33+U33+W33+Y33</f>
        <v>61000</v>
      </c>
      <c r="AS33" s="65">
        <v>6</v>
      </c>
      <c r="AT33" s="66">
        <f>AQ33*AS33*4*12</f>
        <v>3168</v>
      </c>
      <c r="AU33" s="66">
        <f>AT33*M33</f>
        <v>28512000</v>
      </c>
      <c r="AV33" s="67">
        <f>AT33*K33</f>
        <v>4752000</v>
      </c>
      <c r="AW33" s="67">
        <f>Z33*J33*AS33*4*12</f>
        <v>172800</v>
      </c>
      <c r="AX33" s="66">
        <f>AT33*E33</f>
        <v>2851200</v>
      </c>
      <c r="AY33" s="67">
        <f>AX33*F33</f>
        <v>8553600</v>
      </c>
      <c r="AZ33" s="67">
        <f>AT33*D33*H33</f>
        <v>554400</v>
      </c>
      <c r="BA33" s="67">
        <f>Z33*I33*AS33*4*12</f>
        <v>1792512</v>
      </c>
      <c r="BB33" s="66">
        <f>AR33*AS33*4*12</f>
        <v>17568000</v>
      </c>
      <c r="BC33" s="67">
        <f>BB33*G33</f>
        <v>1756800</v>
      </c>
      <c r="BD33" s="82">
        <f>BB33*$BD$32</f>
        <v>52704000</v>
      </c>
      <c r="BE33" s="82">
        <f>BB33*$BE$32</f>
        <v>35136000</v>
      </c>
      <c r="BF33" s="98"/>
      <c r="BG33" s="58">
        <f>AC33+AE33+AG33+AI33+AK33+AM33</f>
        <v>3</v>
      </c>
      <c r="BH33" s="90">
        <f>AD33+AF33+AH33+AJ33+AL33+AN33</f>
        <v>24500</v>
      </c>
      <c r="BI33" s="68">
        <v>7</v>
      </c>
      <c r="BJ33" s="69">
        <f t="shared" ref="BJ33:BJ39" si="87">BG33*BI33*4*12</f>
        <v>1008</v>
      </c>
      <c r="BK33" s="69">
        <f>BJ33*AB33</f>
        <v>10080000</v>
      </c>
      <c r="BL33" s="70">
        <f>BJ33*K33</f>
        <v>1512000</v>
      </c>
      <c r="BM33" s="70">
        <f>BI33*AO33*4*12*J33</f>
        <v>50400</v>
      </c>
      <c r="BN33" s="69">
        <f>BJ33*E33</f>
        <v>907200</v>
      </c>
      <c r="BO33" s="70">
        <f>BN33*F33</f>
        <v>2721600</v>
      </c>
      <c r="BP33" s="70">
        <f>BJ33*D33*H33</f>
        <v>176400</v>
      </c>
      <c r="BQ33" s="70">
        <f>BI33*AO33*I33*4*12</f>
        <v>522816</v>
      </c>
      <c r="BR33" s="69">
        <f>BH33*BI33*4*12</f>
        <v>8232000</v>
      </c>
      <c r="BS33" s="70">
        <f>BR33*G33</f>
        <v>823200</v>
      </c>
    </row>
    <row r="34" spans="1:71" x14ac:dyDescent="0.25">
      <c r="A34">
        <v>1</v>
      </c>
      <c r="B34" s="73" t="s">
        <v>113</v>
      </c>
      <c r="C34" s="73">
        <v>77800</v>
      </c>
      <c r="D34" s="73">
        <v>500</v>
      </c>
      <c r="E34" s="74">
        <v>900</v>
      </c>
      <c r="F34" s="75">
        <v>3</v>
      </c>
      <c r="G34" s="75">
        <v>0.1</v>
      </c>
      <c r="H34" s="75">
        <v>0.35</v>
      </c>
      <c r="I34" s="75">
        <f t="shared" si="86"/>
        <v>1556</v>
      </c>
      <c r="J34" s="75">
        <v>150</v>
      </c>
      <c r="K34" s="74">
        <v>1500</v>
      </c>
      <c r="L34" s="104"/>
      <c r="M34" s="67">
        <v>9000</v>
      </c>
      <c r="N34" s="76">
        <v>2.5</v>
      </c>
      <c r="O34" s="77">
        <v>24500</v>
      </c>
      <c r="P34" s="77">
        <v>2.5</v>
      </c>
      <c r="Q34" s="77"/>
      <c r="R34" s="77">
        <v>3</v>
      </c>
      <c r="S34" s="77">
        <v>24500</v>
      </c>
      <c r="T34" s="59">
        <v>3</v>
      </c>
      <c r="U34" s="78">
        <v>12000</v>
      </c>
      <c r="V34" s="59"/>
      <c r="W34" s="59"/>
      <c r="X34" s="59"/>
      <c r="Y34" s="59"/>
      <c r="Z34" s="65">
        <v>4</v>
      </c>
      <c r="AA34" s="102"/>
      <c r="AB34" s="70">
        <v>10000</v>
      </c>
      <c r="AC34" s="62">
        <v>3</v>
      </c>
      <c r="AD34" s="94">
        <v>24500</v>
      </c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8">
        <v>1</v>
      </c>
      <c r="AP34" s="97"/>
      <c r="AQ34" s="72">
        <f t="shared" ref="AQ34:AQ39" si="88">N34+P34+R34+T34+V34+X34</f>
        <v>11</v>
      </c>
      <c r="AR34" s="72">
        <f>O34+Q34+S34+U34+W34+Y34</f>
        <v>61000</v>
      </c>
      <c r="AS34" s="65">
        <v>6</v>
      </c>
      <c r="AT34" s="66">
        <f t="shared" ref="AT34:AT39" si="89">AQ34*AS34*4*12</f>
        <v>3168</v>
      </c>
      <c r="AU34" s="66">
        <f t="shared" ref="AU34:AU39" si="90">AT34*M34</f>
        <v>28512000</v>
      </c>
      <c r="AV34" s="67">
        <f t="shared" ref="AV34:AV39" si="91">AT34*K34</f>
        <v>4752000</v>
      </c>
      <c r="AW34" s="67">
        <f t="shared" ref="AW34:AW39" si="92">Z34*J34*AS34*4*12</f>
        <v>172800</v>
      </c>
      <c r="AX34" s="66">
        <f t="shared" ref="AX34:AX39" si="93">AT34*E34</f>
        <v>2851200</v>
      </c>
      <c r="AY34" s="67">
        <f t="shared" ref="AY34:AY39" si="94">AX34*F34</f>
        <v>8553600</v>
      </c>
      <c r="AZ34" s="67">
        <f t="shared" ref="AZ34:AZ39" si="95">AT34*D34*H34</f>
        <v>554400</v>
      </c>
      <c r="BA34" s="67">
        <f t="shared" ref="BA34:BA39" si="96">Z34*I34*AS34*4*12</f>
        <v>1792512</v>
      </c>
      <c r="BB34" s="66">
        <f t="shared" ref="BB34:BB39" si="97">AR34*AS34*4*12</f>
        <v>17568000</v>
      </c>
      <c r="BC34" s="67">
        <f t="shared" ref="BC34:BC39" si="98">BB34*G34</f>
        <v>1756800</v>
      </c>
      <c r="BD34" s="82">
        <f t="shared" ref="BD34:BD39" si="99">BB34*$BD$32</f>
        <v>52704000</v>
      </c>
      <c r="BE34" s="82">
        <f t="shared" ref="BE34:BE39" si="100">BB34*$BE$32</f>
        <v>35136000</v>
      </c>
      <c r="BF34" s="98"/>
      <c r="BG34" s="58">
        <f t="shared" ref="BG34:BG39" si="101">AC34+AE34+AG34+AI34+AK34+AM34</f>
        <v>3</v>
      </c>
      <c r="BH34" s="90">
        <f>AD34+AF34+AH34+AJ34+AL34+AN34</f>
        <v>24500</v>
      </c>
      <c r="BI34" s="68">
        <v>7</v>
      </c>
      <c r="BJ34" s="69">
        <f t="shared" si="87"/>
        <v>1008</v>
      </c>
      <c r="BK34" s="69">
        <f>BJ34*AB34</f>
        <v>10080000</v>
      </c>
      <c r="BL34" s="70">
        <f>BJ34*K34</f>
        <v>1512000</v>
      </c>
      <c r="BM34" s="70">
        <f>BI34*AO34*4*12*J34</f>
        <v>50400</v>
      </c>
      <c r="BN34" s="69">
        <f t="shared" ref="BN34:BN39" si="102">BJ34*E34</f>
        <v>907200</v>
      </c>
      <c r="BO34" s="70">
        <f t="shared" ref="BO34:BO39" si="103">BN34*F34</f>
        <v>2721600</v>
      </c>
      <c r="BP34" s="70">
        <f t="shared" ref="BP34:BP39" si="104">BJ34*D34*H34</f>
        <v>176400</v>
      </c>
      <c r="BQ34" s="70">
        <f t="shared" ref="BQ34:BQ39" si="105">BI34*AO34*I34*4*12</f>
        <v>522816</v>
      </c>
      <c r="BR34" s="69">
        <f t="shared" ref="BR34:BR39" si="106">BH34*BI34*4*12</f>
        <v>8232000</v>
      </c>
      <c r="BS34" s="70">
        <f t="shared" ref="BS34:BS39" si="107">BR34*G34</f>
        <v>823200</v>
      </c>
    </row>
    <row r="35" spans="1:71" x14ac:dyDescent="0.25">
      <c r="A35">
        <v>2</v>
      </c>
      <c r="B35" s="73" t="s">
        <v>113</v>
      </c>
      <c r="C35" s="73">
        <v>77800</v>
      </c>
      <c r="D35" s="73">
        <v>500</v>
      </c>
      <c r="E35" s="74">
        <v>900</v>
      </c>
      <c r="F35" s="75">
        <v>3</v>
      </c>
      <c r="G35" s="75">
        <v>0.1</v>
      </c>
      <c r="H35" s="75">
        <v>0.35</v>
      </c>
      <c r="I35" s="75">
        <f t="shared" si="86"/>
        <v>1556</v>
      </c>
      <c r="J35" s="75">
        <v>150</v>
      </c>
      <c r="K35" s="74">
        <v>1500</v>
      </c>
      <c r="L35" s="104"/>
      <c r="M35" s="67">
        <v>9000</v>
      </c>
      <c r="N35" s="76">
        <v>2.5</v>
      </c>
      <c r="O35" s="77">
        <v>24500</v>
      </c>
      <c r="P35" s="77">
        <v>2.5</v>
      </c>
      <c r="Q35" s="77"/>
      <c r="R35" s="77">
        <v>3</v>
      </c>
      <c r="S35" s="77">
        <v>24500</v>
      </c>
      <c r="T35" s="59">
        <v>3</v>
      </c>
      <c r="U35" s="78">
        <v>12000</v>
      </c>
      <c r="V35" s="59"/>
      <c r="W35" s="59"/>
      <c r="X35" s="59"/>
      <c r="Y35" s="59"/>
      <c r="Z35" s="65">
        <v>4</v>
      </c>
      <c r="AA35" s="102"/>
      <c r="AB35" s="70">
        <v>10000</v>
      </c>
      <c r="AC35" s="62">
        <v>3</v>
      </c>
      <c r="AD35" s="62">
        <v>24500</v>
      </c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8">
        <v>1</v>
      </c>
      <c r="AP35" s="97"/>
      <c r="AQ35" s="72">
        <f t="shared" si="88"/>
        <v>11</v>
      </c>
      <c r="AR35" s="72">
        <f t="shared" ref="AR35:AR39" si="108">O35+Q35+S35+U35+W35+Y35</f>
        <v>61000</v>
      </c>
      <c r="AS35" s="65">
        <v>5</v>
      </c>
      <c r="AT35" s="66">
        <f t="shared" si="89"/>
        <v>2640</v>
      </c>
      <c r="AU35" s="66">
        <f t="shared" si="90"/>
        <v>23760000</v>
      </c>
      <c r="AV35" s="67">
        <f t="shared" si="91"/>
        <v>3960000</v>
      </c>
      <c r="AW35" s="67">
        <f t="shared" si="92"/>
        <v>144000</v>
      </c>
      <c r="AX35" s="66">
        <f t="shared" si="93"/>
        <v>2376000</v>
      </c>
      <c r="AY35" s="67">
        <f t="shared" si="94"/>
        <v>7128000</v>
      </c>
      <c r="AZ35" s="67">
        <f t="shared" si="95"/>
        <v>461999.99999999994</v>
      </c>
      <c r="BA35" s="67">
        <f t="shared" si="96"/>
        <v>1493760</v>
      </c>
      <c r="BB35" s="66">
        <f t="shared" si="97"/>
        <v>14640000</v>
      </c>
      <c r="BC35" s="67">
        <f t="shared" si="98"/>
        <v>1464000</v>
      </c>
      <c r="BD35" s="82">
        <f t="shared" si="99"/>
        <v>43920000</v>
      </c>
      <c r="BE35" s="82">
        <f t="shared" si="100"/>
        <v>29280000</v>
      </c>
      <c r="BF35" s="98"/>
      <c r="BG35" s="58">
        <f t="shared" si="101"/>
        <v>3</v>
      </c>
      <c r="BH35" s="90">
        <f t="shared" ref="BH35:BH39" si="109">AE35+AG35+AI35+AK35+AM35+AO35</f>
        <v>1</v>
      </c>
      <c r="BI35" s="68">
        <v>7</v>
      </c>
      <c r="BJ35" s="69">
        <f t="shared" si="87"/>
        <v>1008</v>
      </c>
      <c r="BK35" s="69">
        <f t="shared" ref="BK35:BK39" si="110">BJ35*AB35</f>
        <v>10080000</v>
      </c>
      <c r="BL35" s="70">
        <f t="shared" ref="BL35:BL39" si="111">BJ35*K35</f>
        <v>1512000</v>
      </c>
      <c r="BM35" s="70">
        <f t="shared" ref="BM35:BM39" si="112">BI35*AO35*4*12*J35</f>
        <v>50400</v>
      </c>
      <c r="BN35" s="69">
        <f t="shared" si="102"/>
        <v>907200</v>
      </c>
      <c r="BO35" s="70">
        <f t="shared" si="103"/>
        <v>2721600</v>
      </c>
      <c r="BP35" s="70">
        <f t="shared" si="104"/>
        <v>176400</v>
      </c>
      <c r="BQ35" s="70">
        <f t="shared" si="105"/>
        <v>522816</v>
      </c>
      <c r="BR35" s="69">
        <f t="shared" si="106"/>
        <v>336</v>
      </c>
      <c r="BS35" s="70">
        <f t="shared" si="107"/>
        <v>33.6</v>
      </c>
    </row>
    <row r="36" spans="1:71" x14ac:dyDescent="0.25">
      <c r="A36">
        <v>3</v>
      </c>
      <c r="B36" s="73" t="s">
        <v>113</v>
      </c>
      <c r="C36" s="73">
        <v>77800</v>
      </c>
      <c r="D36" s="73">
        <v>500</v>
      </c>
      <c r="E36" s="74">
        <v>900</v>
      </c>
      <c r="F36" s="75">
        <v>3</v>
      </c>
      <c r="G36" s="75">
        <v>0.1</v>
      </c>
      <c r="H36" s="75">
        <v>0.35</v>
      </c>
      <c r="I36" s="75">
        <f t="shared" si="86"/>
        <v>1556</v>
      </c>
      <c r="J36" s="75">
        <v>150</v>
      </c>
      <c r="K36" s="74">
        <v>1500</v>
      </c>
      <c r="L36" s="104"/>
      <c r="M36" s="67">
        <v>9000</v>
      </c>
      <c r="N36" s="77"/>
      <c r="O36" s="77"/>
      <c r="P36" s="77"/>
      <c r="Q36" s="77"/>
      <c r="R36" s="77"/>
      <c r="S36" s="77"/>
      <c r="T36" s="59"/>
      <c r="U36" s="78"/>
      <c r="V36" s="59"/>
      <c r="W36" s="59"/>
      <c r="X36" s="59"/>
      <c r="Y36" s="59"/>
      <c r="Z36" s="65"/>
      <c r="AA36" s="102"/>
      <c r="AB36" s="70">
        <v>10000</v>
      </c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  <c r="AO36" s="68"/>
      <c r="AP36" s="97"/>
      <c r="AQ36" s="72">
        <f t="shared" si="88"/>
        <v>0</v>
      </c>
      <c r="AR36" s="72">
        <f t="shared" si="108"/>
        <v>0</v>
      </c>
      <c r="AS36" s="65"/>
      <c r="AT36" s="66">
        <f t="shared" si="89"/>
        <v>0</v>
      </c>
      <c r="AU36" s="66">
        <f t="shared" si="90"/>
        <v>0</v>
      </c>
      <c r="AV36" s="67">
        <f t="shared" si="91"/>
        <v>0</v>
      </c>
      <c r="AW36" s="67">
        <f t="shared" si="92"/>
        <v>0</v>
      </c>
      <c r="AX36" s="66">
        <f t="shared" si="93"/>
        <v>0</v>
      </c>
      <c r="AY36" s="67">
        <f t="shared" si="94"/>
        <v>0</v>
      </c>
      <c r="AZ36" s="67">
        <f t="shared" si="95"/>
        <v>0</v>
      </c>
      <c r="BA36" s="67">
        <f t="shared" si="96"/>
        <v>0</v>
      </c>
      <c r="BB36" s="66">
        <f t="shared" si="97"/>
        <v>0</v>
      </c>
      <c r="BC36" s="67">
        <f t="shared" si="98"/>
        <v>0</v>
      </c>
      <c r="BD36" s="82">
        <f t="shared" si="99"/>
        <v>0</v>
      </c>
      <c r="BE36" s="82">
        <f t="shared" si="100"/>
        <v>0</v>
      </c>
      <c r="BF36" s="98"/>
      <c r="BG36" s="58">
        <f t="shared" si="101"/>
        <v>0</v>
      </c>
      <c r="BH36" s="90">
        <f t="shared" si="109"/>
        <v>0</v>
      </c>
      <c r="BI36" s="68"/>
      <c r="BJ36" s="69">
        <f t="shared" si="87"/>
        <v>0</v>
      </c>
      <c r="BK36" s="69">
        <f t="shared" si="110"/>
        <v>0</v>
      </c>
      <c r="BL36" s="70">
        <f t="shared" si="111"/>
        <v>0</v>
      </c>
      <c r="BM36" s="70">
        <f t="shared" si="112"/>
        <v>0</v>
      </c>
      <c r="BN36" s="69">
        <f t="shared" si="102"/>
        <v>0</v>
      </c>
      <c r="BO36" s="70">
        <f t="shared" si="103"/>
        <v>0</v>
      </c>
      <c r="BP36" s="70">
        <f t="shared" si="104"/>
        <v>0</v>
      </c>
      <c r="BQ36" s="70">
        <f t="shared" si="105"/>
        <v>0</v>
      </c>
      <c r="BR36" s="69">
        <f t="shared" si="106"/>
        <v>0</v>
      </c>
      <c r="BS36" s="70">
        <f t="shared" si="107"/>
        <v>0</v>
      </c>
    </row>
    <row r="37" spans="1:71" x14ac:dyDescent="0.25">
      <c r="A37">
        <v>4</v>
      </c>
      <c r="B37" s="73" t="s">
        <v>113</v>
      </c>
      <c r="C37" s="73">
        <v>77800</v>
      </c>
      <c r="D37" s="73">
        <v>500</v>
      </c>
      <c r="E37" s="74">
        <v>900</v>
      </c>
      <c r="F37" s="75">
        <v>3</v>
      </c>
      <c r="G37" s="75">
        <v>0.1</v>
      </c>
      <c r="H37" s="75">
        <v>0.35</v>
      </c>
      <c r="I37" s="75">
        <f t="shared" si="86"/>
        <v>1556</v>
      </c>
      <c r="J37" s="75">
        <v>150</v>
      </c>
      <c r="K37" s="74">
        <v>1500</v>
      </c>
      <c r="L37" s="104"/>
      <c r="M37" s="67">
        <v>9000</v>
      </c>
      <c r="N37" s="77"/>
      <c r="O37" s="77"/>
      <c r="P37" s="77"/>
      <c r="Q37" s="77"/>
      <c r="R37" s="77"/>
      <c r="S37" s="77"/>
      <c r="T37" s="59"/>
      <c r="U37" s="78"/>
      <c r="V37" s="59"/>
      <c r="W37" s="59"/>
      <c r="X37" s="59"/>
      <c r="Y37" s="59"/>
      <c r="Z37" s="65"/>
      <c r="AA37" s="102"/>
      <c r="AB37" s="70">
        <v>10000</v>
      </c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8"/>
      <c r="AP37" s="97"/>
      <c r="AQ37" s="72">
        <f t="shared" si="88"/>
        <v>0</v>
      </c>
      <c r="AR37" s="72">
        <f t="shared" si="108"/>
        <v>0</v>
      </c>
      <c r="AS37" s="65"/>
      <c r="AT37" s="66">
        <f t="shared" si="89"/>
        <v>0</v>
      </c>
      <c r="AU37" s="66">
        <f t="shared" si="90"/>
        <v>0</v>
      </c>
      <c r="AV37" s="67">
        <f t="shared" si="91"/>
        <v>0</v>
      </c>
      <c r="AW37" s="67">
        <f t="shared" si="92"/>
        <v>0</v>
      </c>
      <c r="AX37" s="66">
        <f t="shared" si="93"/>
        <v>0</v>
      </c>
      <c r="AY37" s="67">
        <f t="shared" si="94"/>
        <v>0</v>
      </c>
      <c r="AZ37" s="67">
        <f t="shared" si="95"/>
        <v>0</v>
      </c>
      <c r="BA37" s="67">
        <f t="shared" si="96"/>
        <v>0</v>
      </c>
      <c r="BB37" s="66">
        <f t="shared" si="97"/>
        <v>0</v>
      </c>
      <c r="BC37" s="67">
        <f t="shared" si="98"/>
        <v>0</v>
      </c>
      <c r="BD37" s="82">
        <f t="shared" si="99"/>
        <v>0</v>
      </c>
      <c r="BE37" s="82">
        <f t="shared" si="100"/>
        <v>0</v>
      </c>
      <c r="BF37" s="98"/>
      <c r="BG37" s="58">
        <f t="shared" si="101"/>
        <v>0</v>
      </c>
      <c r="BH37" s="90">
        <f t="shared" si="109"/>
        <v>0</v>
      </c>
      <c r="BI37" s="68"/>
      <c r="BJ37" s="69">
        <f t="shared" si="87"/>
        <v>0</v>
      </c>
      <c r="BK37" s="69">
        <f t="shared" si="110"/>
        <v>0</v>
      </c>
      <c r="BL37" s="70">
        <f t="shared" si="111"/>
        <v>0</v>
      </c>
      <c r="BM37" s="70">
        <f t="shared" si="112"/>
        <v>0</v>
      </c>
      <c r="BN37" s="69">
        <f t="shared" si="102"/>
        <v>0</v>
      </c>
      <c r="BO37" s="70">
        <f t="shared" si="103"/>
        <v>0</v>
      </c>
      <c r="BP37" s="70">
        <f t="shared" si="104"/>
        <v>0</v>
      </c>
      <c r="BQ37" s="70">
        <f t="shared" si="105"/>
        <v>0</v>
      </c>
      <c r="BR37" s="69">
        <f t="shared" si="106"/>
        <v>0</v>
      </c>
      <c r="BS37" s="70">
        <f t="shared" si="107"/>
        <v>0</v>
      </c>
    </row>
    <row r="38" spans="1:71" x14ac:dyDescent="0.25">
      <c r="A38">
        <v>3</v>
      </c>
      <c r="B38" s="73" t="s">
        <v>114</v>
      </c>
      <c r="C38" s="73">
        <v>260800</v>
      </c>
      <c r="D38" s="73">
        <v>500</v>
      </c>
      <c r="E38" s="74">
        <v>1800</v>
      </c>
      <c r="F38" s="75">
        <v>3</v>
      </c>
      <c r="G38" s="75">
        <v>0.1</v>
      </c>
      <c r="H38" s="75">
        <v>0.35</v>
      </c>
      <c r="I38" s="75">
        <f t="shared" si="86"/>
        <v>5216</v>
      </c>
      <c r="J38" s="75">
        <v>350</v>
      </c>
      <c r="K38" s="74">
        <v>5500</v>
      </c>
      <c r="L38" s="104"/>
      <c r="M38" s="67">
        <v>18000</v>
      </c>
      <c r="N38" s="77">
        <v>13</v>
      </c>
      <c r="O38" s="77">
        <v>102000</v>
      </c>
      <c r="P38" s="77"/>
      <c r="Q38" s="77"/>
      <c r="R38" s="77"/>
      <c r="S38" s="77"/>
      <c r="T38" s="59"/>
      <c r="U38" s="78"/>
      <c r="V38" s="59"/>
      <c r="W38" s="59"/>
      <c r="X38" s="59"/>
      <c r="Y38" s="59"/>
      <c r="Z38" s="65">
        <v>1</v>
      </c>
      <c r="AA38" s="102"/>
      <c r="AB38" s="70">
        <v>20000</v>
      </c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8"/>
      <c r="AP38" s="97"/>
      <c r="AQ38" s="72">
        <f t="shared" si="88"/>
        <v>13</v>
      </c>
      <c r="AR38" s="72">
        <f t="shared" si="108"/>
        <v>102000</v>
      </c>
      <c r="AS38" s="65">
        <v>5</v>
      </c>
      <c r="AT38" s="66">
        <f t="shared" si="89"/>
        <v>3120</v>
      </c>
      <c r="AU38" s="66">
        <f t="shared" si="90"/>
        <v>56160000</v>
      </c>
      <c r="AV38" s="67">
        <f t="shared" si="91"/>
        <v>17160000</v>
      </c>
      <c r="AW38" s="67">
        <f t="shared" si="92"/>
        <v>84000</v>
      </c>
      <c r="AX38" s="66">
        <f t="shared" si="93"/>
        <v>5616000</v>
      </c>
      <c r="AY38" s="67">
        <f t="shared" si="94"/>
        <v>16848000</v>
      </c>
      <c r="AZ38" s="67">
        <f t="shared" si="95"/>
        <v>546000</v>
      </c>
      <c r="BA38" s="67">
        <f t="shared" si="96"/>
        <v>1251840</v>
      </c>
      <c r="BB38" s="66">
        <f t="shared" si="97"/>
        <v>24480000</v>
      </c>
      <c r="BC38" s="67">
        <f t="shared" si="98"/>
        <v>2448000</v>
      </c>
      <c r="BD38" s="82">
        <f t="shared" si="99"/>
        <v>73440000</v>
      </c>
      <c r="BE38" s="82">
        <f t="shared" si="100"/>
        <v>48960000</v>
      </c>
      <c r="BF38" s="98"/>
      <c r="BG38" s="58">
        <f t="shared" si="101"/>
        <v>0</v>
      </c>
      <c r="BH38" s="90">
        <f t="shared" si="109"/>
        <v>0</v>
      </c>
      <c r="BI38" s="68"/>
      <c r="BJ38" s="69">
        <f t="shared" si="87"/>
        <v>0</v>
      </c>
      <c r="BK38" s="69">
        <f t="shared" si="110"/>
        <v>0</v>
      </c>
      <c r="BL38" s="70">
        <f t="shared" si="111"/>
        <v>0</v>
      </c>
      <c r="BM38" s="70">
        <f t="shared" si="112"/>
        <v>0</v>
      </c>
      <c r="BN38" s="69">
        <f t="shared" si="102"/>
        <v>0</v>
      </c>
      <c r="BO38" s="70">
        <f t="shared" si="103"/>
        <v>0</v>
      </c>
      <c r="BP38" s="70">
        <f t="shared" si="104"/>
        <v>0</v>
      </c>
      <c r="BQ38" s="70">
        <f t="shared" si="105"/>
        <v>0</v>
      </c>
      <c r="BR38" s="69">
        <f t="shared" si="106"/>
        <v>0</v>
      </c>
      <c r="BS38" s="70">
        <f t="shared" si="107"/>
        <v>0</v>
      </c>
    </row>
    <row r="39" spans="1:71" x14ac:dyDescent="0.25">
      <c r="A39">
        <v>4</v>
      </c>
      <c r="B39" s="73" t="s">
        <v>114</v>
      </c>
      <c r="C39" s="73">
        <v>260800</v>
      </c>
      <c r="D39" s="73">
        <v>500</v>
      </c>
      <c r="E39" s="74">
        <v>1800</v>
      </c>
      <c r="F39" s="75">
        <v>3</v>
      </c>
      <c r="G39" s="75">
        <v>0.1</v>
      </c>
      <c r="H39" s="75">
        <v>0.35</v>
      </c>
      <c r="I39" s="75">
        <f>C39*0.02</f>
        <v>5216</v>
      </c>
      <c r="J39" s="75">
        <v>350</v>
      </c>
      <c r="K39" s="74">
        <v>5500</v>
      </c>
      <c r="L39" s="104"/>
      <c r="M39" s="67">
        <v>18000</v>
      </c>
      <c r="N39" s="77"/>
      <c r="O39" s="77"/>
      <c r="P39" s="77"/>
      <c r="Q39" s="77"/>
      <c r="R39" s="77"/>
      <c r="S39" s="77"/>
      <c r="T39" s="59"/>
      <c r="U39" s="78"/>
      <c r="V39" s="59"/>
      <c r="W39" s="59"/>
      <c r="X39" s="59"/>
      <c r="Y39" s="59"/>
      <c r="Z39" s="65"/>
      <c r="AA39" s="102"/>
      <c r="AB39" s="70">
        <v>20000</v>
      </c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8"/>
      <c r="AP39" s="97"/>
      <c r="AQ39" s="72">
        <f t="shared" si="88"/>
        <v>0</v>
      </c>
      <c r="AR39" s="72">
        <f t="shared" si="108"/>
        <v>0</v>
      </c>
      <c r="AS39" s="65"/>
      <c r="AT39" s="66">
        <f t="shared" si="89"/>
        <v>0</v>
      </c>
      <c r="AU39" s="66">
        <f t="shared" si="90"/>
        <v>0</v>
      </c>
      <c r="AV39" s="67">
        <f t="shared" si="91"/>
        <v>0</v>
      </c>
      <c r="AW39" s="67">
        <f t="shared" si="92"/>
        <v>0</v>
      </c>
      <c r="AX39" s="66">
        <f t="shared" si="93"/>
        <v>0</v>
      </c>
      <c r="AY39" s="67">
        <f t="shared" si="94"/>
        <v>0</v>
      </c>
      <c r="AZ39" s="67">
        <f t="shared" si="95"/>
        <v>0</v>
      </c>
      <c r="BA39" s="67">
        <f t="shared" si="96"/>
        <v>0</v>
      </c>
      <c r="BB39" s="66">
        <f t="shared" si="97"/>
        <v>0</v>
      </c>
      <c r="BC39" s="67">
        <f t="shared" si="98"/>
        <v>0</v>
      </c>
      <c r="BD39" s="82">
        <f t="shared" si="99"/>
        <v>0</v>
      </c>
      <c r="BE39" s="82">
        <f t="shared" si="100"/>
        <v>0</v>
      </c>
      <c r="BF39" s="98"/>
      <c r="BG39" s="58">
        <f t="shared" si="101"/>
        <v>0</v>
      </c>
      <c r="BH39" s="90">
        <f t="shared" si="109"/>
        <v>0</v>
      </c>
      <c r="BI39" s="68"/>
      <c r="BJ39" s="69">
        <f t="shared" si="87"/>
        <v>0</v>
      </c>
      <c r="BK39" s="69">
        <f t="shared" si="110"/>
        <v>0</v>
      </c>
      <c r="BL39" s="70">
        <f t="shared" si="111"/>
        <v>0</v>
      </c>
      <c r="BM39" s="70">
        <f t="shared" si="112"/>
        <v>0</v>
      </c>
      <c r="BN39" s="69">
        <f t="shared" si="102"/>
        <v>0</v>
      </c>
      <c r="BO39" s="70">
        <f t="shared" si="103"/>
        <v>0</v>
      </c>
      <c r="BP39" s="70">
        <f t="shared" si="104"/>
        <v>0</v>
      </c>
      <c r="BQ39" s="70">
        <f t="shared" si="105"/>
        <v>0</v>
      </c>
      <c r="BR39" s="69">
        <f t="shared" si="106"/>
        <v>0</v>
      </c>
      <c r="BS39" s="70">
        <f t="shared" si="107"/>
        <v>0</v>
      </c>
    </row>
    <row r="40" spans="1:71" x14ac:dyDescent="0.25">
      <c r="AA40" s="98"/>
      <c r="AP40" s="98"/>
      <c r="AQ40" s="82">
        <f>SUM(AQ33:AQ37)</f>
        <v>33</v>
      </c>
      <c r="AR40" s="61"/>
      <c r="AS40" s="60"/>
      <c r="AT40" s="82">
        <f t="shared" ref="AT40" si="113">SUM(AT33:AT39)</f>
        <v>12096</v>
      </c>
      <c r="AU40" s="82">
        <f>SUM(AU33:AU37)</f>
        <v>80784000</v>
      </c>
      <c r="AV40" s="83">
        <f t="shared" ref="AV40" si="114">SUM(AV33:AV39)</f>
        <v>30624000</v>
      </c>
      <c r="AW40" s="83">
        <f t="shared" ref="AW40" si="115">SUM(AW33:AW39)</f>
        <v>573600</v>
      </c>
      <c r="AX40" s="84">
        <f t="shared" ref="AX40" si="116">SUM(AX33:AX39)</f>
        <v>13694400</v>
      </c>
      <c r="AY40" s="83">
        <f>SUM(AY33:AY39)</f>
        <v>41083200</v>
      </c>
      <c r="AZ40" s="83">
        <f t="shared" ref="AZ40" si="117">SUM(AZ33:AZ39)</f>
        <v>2116800</v>
      </c>
      <c r="BA40" s="83">
        <f t="shared" ref="BA40" si="118">SUM(BA33:BA39)</f>
        <v>6330624</v>
      </c>
      <c r="BB40" s="49">
        <f>SUM(BB33:BB37)</f>
        <v>49776000</v>
      </c>
      <c r="BC40" s="82">
        <f t="shared" ref="BC40" si="119">SUM(BC33:BC39)</f>
        <v>7425600</v>
      </c>
      <c r="BD40" s="82">
        <f>SUM(BD33:BD37)</f>
        <v>149328000</v>
      </c>
      <c r="BE40" s="66">
        <f>SUM(BE33:BE37)</f>
        <v>99552000</v>
      </c>
      <c r="BF40" s="98"/>
      <c r="BG40" s="85">
        <f>SUM(BG33:BG37)</f>
        <v>9</v>
      </c>
      <c r="BH40" s="63"/>
      <c r="BI40" s="64"/>
      <c r="BJ40" s="85">
        <f t="shared" ref="BJ40" si="120">SUM(BJ33:BJ39)</f>
        <v>3024</v>
      </c>
      <c r="BK40" s="108">
        <f t="shared" ref="BK40" si="121">SUM(BK33:BK39)</f>
        <v>30240000</v>
      </c>
      <c r="BL40" s="86">
        <f t="shared" ref="BL40" si="122">SUM(BL33:BL39)</f>
        <v>4536000</v>
      </c>
      <c r="BM40" s="86">
        <f t="shared" ref="BM40" si="123">SUM(BM33:BM39)</f>
        <v>151200</v>
      </c>
      <c r="BN40" s="91">
        <f t="shared" ref="BN40" si="124">SUM(BN33:BN39)</f>
        <v>2721600</v>
      </c>
      <c r="BO40" s="86">
        <f>SUM(BO33:BO39)</f>
        <v>8164800</v>
      </c>
      <c r="BP40" s="86">
        <f t="shared" ref="BP40" si="125">SUM(BP33:BP39)</f>
        <v>529200</v>
      </c>
      <c r="BQ40" s="86">
        <f t="shared" ref="BQ40" si="126">SUM(BQ33:BQ39)</f>
        <v>1568448</v>
      </c>
      <c r="BR40" s="85">
        <f t="shared" ref="BR40" si="127">SUM(BR33:BR39)</f>
        <v>16464336</v>
      </c>
      <c r="BS40" s="85">
        <f>SUM(BS33:BS39)</f>
        <v>1646433.6</v>
      </c>
    </row>
    <row r="41" spans="1:71" x14ac:dyDescent="0.25">
      <c r="AQ41" s="82">
        <f>SUM(AQ38:AQ39)</f>
        <v>13</v>
      </c>
      <c r="AR41" s="61"/>
      <c r="AS41" s="60"/>
      <c r="AT41" s="61"/>
      <c r="AU41" s="82">
        <f>SUM(AU38:AU39)</f>
        <v>56160000</v>
      </c>
      <c r="AV41" s="61"/>
      <c r="AW41" s="61"/>
      <c r="AX41" s="61"/>
      <c r="AY41" s="61"/>
      <c r="AZ41" s="61"/>
      <c r="BA41" s="61"/>
      <c r="BB41" s="82">
        <f>SUM(BB38:BB39)</f>
        <v>24480000</v>
      </c>
      <c r="BC41" s="61"/>
      <c r="BD41" s="82">
        <f>SUM(BD38:BD39)</f>
        <v>73440000</v>
      </c>
      <c r="BE41" s="66">
        <f>SUM(BE38:BE39)</f>
        <v>48960000</v>
      </c>
      <c r="BF41" s="98"/>
      <c r="BG41" s="82">
        <f>SUM(BG38:BG39)</f>
        <v>0</v>
      </c>
      <c r="BJ41" s="49">
        <f>BJ40+AT40</f>
        <v>15120</v>
      </c>
      <c r="BK41" s="105" t="s">
        <v>162</v>
      </c>
      <c r="BL41" s="105">
        <f>BL40+AV40</f>
        <v>35160000</v>
      </c>
      <c r="BN41" s="106" t="s">
        <v>161</v>
      </c>
      <c r="BO41" s="107">
        <f>BO40+AY40</f>
        <v>49248000</v>
      </c>
      <c r="BP41" s="110" t="s">
        <v>163</v>
      </c>
      <c r="BQ41" s="111">
        <f>BQ40+BP40+BM40+BS40+BC40+BA40+AZ40+AW40</f>
        <v>20341905.600000001</v>
      </c>
    </row>
    <row r="42" spans="1:71" x14ac:dyDescent="0.25">
      <c r="AT42" s="49"/>
      <c r="AU42" s="109">
        <f>SUM(AU40:AU41)</f>
        <v>136944000</v>
      </c>
      <c r="BB42" s="82">
        <f>SUM(BB40:BB41)</f>
        <v>74256000</v>
      </c>
      <c r="BD42" s="82">
        <f>SUM(BD40:BD41)</f>
        <v>222768000</v>
      </c>
      <c r="BE42" s="66">
        <f>SUM(BE40:BE41)</f>
        <v>148512000</v>
      </c>
    </row>
    <row r="43" spans="1:71" x14ac:dyDescent="0.25">
      <c r="BD43" s="113">
        <f>AU40+BD40+BE40</f>
        <v>329664000</v>
      </c>
    </row>
    <row r="44" spans="1:71" x14ac:dyDescent="0.25">
      <c r="BD44" s="113">
        <f>AU41+BD41+BE41</f>
        <v>178560000</v>
      </c>
      <c r="BE44" s="87">
        <f>BD42+BE42+AU42</f>
        <v>508224000</v>
      </c>
    </row>
    <row r="45" spans="1:71" x14ac:dyDescent="0.25">
      <c r="L45" s="98"/>
      <c r="M45" s="130" t="s">
        <v>132</v>
      </c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60"/>
      <c r="AA45" s="99"/>
      <c r="AB45" s="128" t="s">
        <v>133</v>
      </c>
      <c r="AC45" s="128"/>
      <c r="AD45" s="128"/>
      <c r="AE45" s="128"/>
      <c r="AF45" s="128"/>
      <c r="AG45" s="128"/>
      <c r="AH45" s="128"/>
      <c r="AI45" s="128"/>
      <c r="AJ45" s="128"/>
      <c r="AK45" s="128"/>
      <c r="AL45" s="128"/>
      <c r="AM45" s="128"/>
      <c r="AN45" s="128"/>
      <c r="AO45" s="128"/>
      <c r="AP45" s="95"/>
      <c r="AQ45" s="129" t="s">
        <v>132</v>
      </c>
      <c r="AR45" s="129"/>
      <c r="AS45" s="129"/>
      <c r="AT45" s="129"/>
      <c r="AU45" s="129"/>
      <c r="AV45" s="129"/>
      <c r="AW45" s="129"/>
      <c r="AX45" s="129"/>
      <c r="AY45" s="129"/>
      <c r="AZ45" s="129"/>
      <c r="BA45" s="129"/>
      <c r="BB45" s="129"/>
      <c r="BC45" s="129"/>
      <c r="BD45" s="129"/>
      <c r="BE45" s="129"/>
      <c r="BF45" s="98"/>
      <c r="BG45" s="128" t="s">
        <v>132</v>
      </c>
      <c r="BH45" s="128"/>
      <c r="BI45" s="128"/>
      <c r="BJ45" s="128"/>
      <c r="BK45" s="128"/>
      <c r="BL45" s="128"/>
      <c r="BM45" s="128"/>
      <c r="BN45" s="128"/>
      <c r="BO45" s="128"/>
      <c r="BP45" s="128"/>
      <c r="BQ45" s="128"/>
      <c r="BR45" s="128"/>
      <c r="BS45" s="128"/>
    </row>
    <row r="46" spans="1:71" x14ac:dyDescent="0.25">
      <c r="B46" s="73"/>
      <c r="C46" s="73"/>
      <c r="D46" s="73"/>
      <c r="E46" s="73" t="s">
        <v>137</v>
      </c>
      <c r="F46" s="73"/>
      <c r="G46" s="73"/>
      <c r="H46" s="73"/>
      <c r="I46" s="73"/>
      <c r="J46" s="73"/>
      <c r="K46" s="73" t="s">
        <v>135</v>
      </c>
      <c r="L46" s="103"/>
      <c r="M46" s="131" t="s">
        <v>149</v>
      </c>
      <c r="N46" s="130" t="s">
        <v>124</v>
      </c>
      <c r="O46" s="130"/>
      <c r="P46" s="130" t="s">
        <v>125</v>
      </c>
      <c r="Q46" s="130"/>
      <c r="R46" s="130" t="s">
        <v>126</v>
      </c>
      <c r="S46" s="130"/>
      <c r="T46" s="130" t="s">
        <v>127</v>
      </c>
      <c r="U46" s="130"/>
      <c r="V46" s="130" t="s">
        <v>128</v>
      </c>
      <c r="W46" s="130"/>
      <c r="X46" s="130" t="s">
        <v>129</v>
      </c>
      <c r="Y46" s="130"/>
      <c r="Z46" s="131" t="s">
        <v>153</v>
      </c>
      <c r="AA46" s="100"/>
      <c r="AB46" s="132" t="s">
        <v>150</v>
      </c>
      <c r="AC46" s="128" t="s">
        <v>124</v>
      </c>
      <c r="AD46" s="128"/>
      <c r="AE46" s="128" t="s">
        <v>125</v>
      </c>
      <c r="AF46" s="128"/>
      <c r="AG46" s="128" t="s">
        <v>126</v>
      </c>
      <c r="AH46" s="128"/>
      <c r="AI46" s="128" t="s">
        <v>127</v>
      </c>
      <c r="AJ46" s="128"/>
      <c r="AK46" s="128" t="s">
        <v>128</v>
      </c>
      <c r="AL46" s="128"/>
      <c r="AM46" s="128" t="s">
        <v>129</v>
      </c>
      <c r="AN46" s="128"/>
      <c r="AO46" s="88"/>
      <c r="AP46" s="95"/>
      <c r="AQ46" s="129" t="s">
        <v>139</v>
      </c>
      <c r="AR46" s="129"/>
      <c r="AS46" s="129" t="s">
        <v>138</v>
      </c>
      <c r="AT46" s="129"/>
      <c r="AU46" s="129"/>
      <c r="AV46" s="129"/>
      <c r="AW46" s="129"/>
      <c r="AX46" s="129"/>
      <c r="AY46" s="129"/>
      <c r="AZ46" s="129"/>
      <c r="BA46" s="129"/>
      <c r="BB46" s="129"/>
      <c r="BC46" s="80"/>
      <c r="BD46" s="80" t="s">
        <v>142</v>
      </c>
      <c r="BE46" s="81" t="s">
        <v>143</v>
      </c>
      <c r="BF46" s="98"/>
      <c r="BG46" s="128" t="s">
        <v>139</v>
      </c>
      <c r="BH46" s="128"/>
      <c r="BI46" s="128" t="s">
        <v>138</v>
      </c>
      <c r="BJ46" s="128"/>
      <c r="BK46" s="128"/>
      <c r="BL46" s="128"/>
      <c r="BM46" s="128"/>
      <c r="BN46" s="128"/>
      <c r="BO46" s="128"/>
      <c r="BP46" s="128"/>
      <c r="BQ46" s="128"/>
      <c r="BR46" s="128"/>
      <c r="BS46" s="88"/>
    </row>
    <row r="47" spans="1:71" x14ac:dyDescent="0.25">
      <c r="B47" s="73"/>
      <c r="C47" s="73" t="s">
        <v>154</v>
      </c>
      <c r="D47" s="73" t="s">
        <v>155</v>
      </c>
      <c r="E47" s="73" t="s">
        <v>134</v>
      </c>
      <c r="F47" s="73" t="s">
        <v>146</v>
      </c>
      <c r="G47" s="73" t="s">
        <v>147</v>
      </c>
      <c r="H47" s="73" t="s">
        <v>148</v>
      </c>
      <c r="I47" s="73" t="s">
        <v>151</v>
      </c>
      <c r="J47" s="73" t="s">
        <v>152</v>
      </c>
      <c r="K47" s="73" t="s">
        <v>136</v>
      </c>
      <c r="L47" s="103"/>
      <c r="M47" s="131"/>
      <c r="N47" s="60" t="s">
        <v>130</v>
      </c>
      <c r="O47" s="60" t="s">
        <v>131</v>
      </c>
      <c r="P47" s="60" t="s">
        <v>130</v>
      </c>
      <c r="Q47" s="60" t="s">
        <v>131</v>
      </c>
      <c r="R47" s="60" t="s">
        <v>130</v>
      </c>
      <c r="S47" s="60" t="s">
        <v>131</v>
      </c>
      <c r="T47" s="60" t="s">
        <v>130</v>
      </c>
      <c r="U47" s="60" t="s">
        <v>131</v>
      </c>
      <c r="V47" s="60" t="s">
        <v>130</v>
      </c>
      <c r="W47" s="60" t="s">
        <v>131</v>
      </c>
      <c r="X47" s="60" t="s">
        <v>130</v>
      </c>
      <c r="Y47" s="60" t="s">
        <v>131</v>
      </c>
      <c r="Z47" s="131"/>
      <c r="AA47" s="100"/>
      <c r="AB47" s="132"/>
      <c r="AC47" s="88" t="s">
        <v>130</v>
      </c>
      <c r="AD47" s="88" t="s">
        <v>131</v>
      </c>
      <c r="AE47" s="88" t="s">
        <v>130</v>
      </c>
      <c r="AF47" s="88" t="s">
        <v>131</v>
      </c>
      <c r="AG47" s="88" t="s">
        <v>130</v>
      </c>
      <c r="AH47" s="88" t="s">
        <v>131</v>
      </c>
      <c r="AI47" s="88" t="s">
        <v>130</v>
      </c>
      <c r="AJ47" s="88" t="s">
        <v>131</v>
      </c>
      <c r="AK47" s="88" t="s">
        <v>130</v>
      </c>
      <c r="AL47" s="88" t="s">
        <v>131</v>
      </c>
      <c r="AM47" s="88" t="s">
        <v>130</v>
      </c>
      <c r="AN47" s="88" t="s">
        <v>131</v>
      </c>
      <c r="AO47" s="88" t="s">
        <v>153</v>
      </c>
      <c r="AP47" s="95"/>
      <c r="AQ47" s="71" t="s">
        <v>130</v>
      </c>
      <c r="AR47" s="71" t="s">
        <v>131</v>
      </c>
      <c r="AS47" s="65" t="s">
        <v>156</v>
      </c>
      <c r="AT47" s="65" t="s">
        <v>130</v>
      </c>
      <c r="AU47" s="65" t="s">
        <v>140</v>
      </c>
      <c r="AV47" s="65" t="s">
        <v>159</v>
      </c>
      <c r="AW47" s="65" t="s">
        <v>160</v>
      </c>
      <c r="AX47" s="65" t="s">
        <v>144</v>
      </c>
      <c r="AY47" s="65" t="s">
        <v>145</v>
      </c>
      <c r="AZ47" s="65" t="s">
        <v>157</v>
      </c>
      <c r="BA47" s="65" t="s">
        <v>151</v>
      </c>
      <c r="BB47" s="65" t="s">
        <v>141</v>
      </c>
      <c r="BC47" s="65" t="s">
        <v>158</v>
      </c>
      <c r="BD47" s="61">
        <v>3</v>
      </c>
      <c r="BE47" s="61">
        <v>2</v>
      </c>
      <c r="BF47" s="98"/>
      <c r="BG47" s="89" t="s">
        <v>130</v>
      </c>
      <c r="BH47" s="89" t="s">
        <v>131</v>
      </c>
      <c r="BI47" s="68" t="s">
        <v>156</v>
      </c>
      <c r="BJ47" s="68" t="s">
        <v>130</v>
      </c>
      <c r="BK47" s="68" t="s">
        <v>140</v>
      </c>
      <c r="BL47" s="68" t="s">
        <v>159</v>
      </c>
      <c r="BM47" s="68" t="s">
        <v>160</v>
      </c>
      <c r="BN47" s="68" t="s">
        <v>144</v>
      </c>
      <c r="BO47" s="68" t="s">
        <v>145</v>
      </c>
      <c r="BP47" s="68" t="s">
        <v>157</v>
      </c>
      <c r="BQ47" s="68" t="s">
        <v>151</v>
      </c>
      <c r="BR47" s="68" t="s">
        <v>141</v>
      </c>
      <c r="BS47" s="68" t="s">
        <v>158</v>
      </c>
    </row>
    <row r="48" spans="1:71" x14ac:dyDescent="0.25">
      <c r="A48">
        <v>1</v>
      </c>
      <c r="B48" s="73" t="s">
        <v>113</v>
      </c>
      <c r="C48" s="73">
        <v>77800</v>
      </c>
      <c r="D48" s="73">
        <v>500</v>
      </c>
      <c r="E48" s="74">
        <v>900</v>
      </c>
      <c r="F48" s="75">
        <v>3</v>
      </c>
      <c r="G48" s="75">
        <v>0.1</v>
      </c>
      <c r="H48" s="75">
        <v>0.35</v>
      </c>
      <c r="I48" s="75">
        <f t="shared" ref="I48:I53" si="128">C48*0.02</f>
        <v>1556</v>
      </c>
      <c r="J48" s="75">
        <v>150</v>
      </c>
      <c r="K48" s="74">
        <v>1500</v>
      </c>
      <c r="L48" s="104"/>
      <c r="M48" s="67">
        <v>9000</v>
      </c>
      <c r="N48" s="76">
        <v>2.5</v>
      </c>
      <c r="O48" s="77">
        <v>24500</v>
      </c>
      <c r="P48" s="76">
        <v>2.5</v>
      </c>
      <c r="Q48" s="77"/>
      <c r="R48" s="59">
        <v>3</v>
      </c>
      <c r="S48" s="78">
        <v>24500</v>
      </c>
      <c r="T48" s="59">
        <v>3</v>
      </c>
      <c r="U48" s="78">
        <v>12000</v>
      </c>
      <c r="V48" s="76"/>
      <c r="W48" s="78"/>
      <c r="X48" s="76"/>
      <c r="Y48" s="78"/>
      <c r="Z48" s="79">
        <v>4</v>
      </c>
      <c r="AA48" s="101"/>
      <c r="AB48" s="70">
        <v>10000</v>
      </c>
      <c r="AC48" s="62">
        <v>3</v>
      </c>
      <c r="AD48" s="94">
        <v>24500</v>
      </c>
      <c r="AE48" s="62"/>
      <c r="AF48" s="62"/>
      <c r="AG48" s="93"/>
      <c r="AH48" s="92"/>
      <c r="AI48" s="93"/>
      <c r="AJ48" s="92"/>
      <c r="AK48" s="93"/>
      <c r="AL48" s="92"/>
      <c r="AM48" s="93"/>
      <c r="AN48" s="92"/>
      <c r="AO48" s="68">
        <v>1</v>
      </c>
      <c r="AP48" s="96"/>
      <c r="AQ48" s="72">
        <f>N48+P48+R48+T48+V48+X48</f>
        <v>11</v>
      </c>
      <c r="AR48" s="72">
        <f>O48+Q48+S48+U48+W48+Y48</f>
        <v>61000</v>
      </c>
      <c r="AS48" s="65">
        <v>7</v>
      </c>
      <c r="AT48" s="66">
        <f>AQ48*AS48*4*12</f>
        <v>3696</v>
      </c>
      <c r="AU48" s="66">
        <f>AT48*M48</f>
        <v>33264000</v>
      </c>
      <c r="AV48" s="67">
        <f>AT48*K48</f>
        <v>5544000</v>
      </c>
      <c r="AW48" s="67">
        <f>Z48*J48*AS48*4*12</f>
        <v>201600</v>
      </c>
      <c r="AX48" s="66">
        <f>AT48*E48</f>
        <v>3326400</v>
      </c>
      <c r="AY48" s="67">
        <f>AX48*F48</f>
        <v>9979200</v>
      </c>
      <c r="AZ48" s="67">
        <f>AT48*D48*H48</f>
        <v>646800</v>
      </c>
      <c r="BA48" s="67">
        <f>Z48*I48*AS48*4*12</f>
        <v>2091264</v>
      </c>
      <c r="BB48" s="66">
        <f>AR48*AS48*4*12</f>
        <v>20496000</v>
      </c>
      <c r="BC48" s="67">
        <f>BB48*G48</f>
        <v>2049600</v>
      </c>
      <c r="BD48" s="82">
        <f>BB48*$BD$47</f>
        <v>61488000</v>
      </c>
      <c r="BE48" s="82">
        <f>BB48*$BE$47</f>
        <v>40992000</v>
      </c>
      <c r="BF48" s="98"/>
      <c r="BG48" s="58">
        <f>AC48+AE48+AG48+AI48+AK48+AM48</f>
        <v>3</v>
      </c>
      <c r="BH48" s="90">
        <f>AD48+AF48+AH48+AJ48+AL48+AN48</f>
        <v>24500</v>
      </c>
      <c r="BI48" s="68">
        <v>7</v>
      </c>
      <c r="BJ48" s="69">
        <f t="shared" ref="BJ48:BJ54" si="129">BG48*BI48*4*12</f>
        <v>1008</v>
      </c>
      <c r="BK48" s="69">
        <f>BJ48*AB48</f>
        <v>10080000</v>
      </c>
      <c r="BL48" s="70">
        <f>BJ48*K48</f>
        <v>1512000</v>
      </c>
      <c r="BM48" s="70">
        <f>BI48*AO48*4*12*J48</f>
        <v>50400</v>
      </c>
      <c r="BN48" s="69">
        <f>BJ48*E48</f>
        <v>907200</v>
      </c>
      <c r="BO48" s="70">
        <f>BN48*F48</f>
        <v>2721600</v>
      </c>
      <c r="BP48" s="70">
        <f>BJ48*D48*H48</f>
        <v>176400</v>
      </c>
      <c r="BQ48" s="70">
        <f>BI48*AO48*I48*4*12</f>
        <v>522816</v>
      </c>
      <c r="BR48" s="69">
        <f>BH48*BI48*4*12</f>
        <v>8232000</v>
      </c>
      <c r="BS48" s="70">
        <f>BR48*G48</f>
        <v>823200</v>
      </c>
    </row>
    <row r="49" spans="1:71" x14ac:dyDescent="0.25">
      <c r="A49">
        <v>1</v>
      </c>
      <c r="B49" s="73" t="s">
        <v>113</v>
      </c>
      <c r="C49" s="73">
        <v>77800</v>
      </c>
      <c r="D49" s="73">
        <v>500</v>
      </c>
      <c r="E49" s="74">
        <v>900</v>
      </c>
      <c r="F49" s="75">
        <v>3</v>
      </c>
      <c r="G49" s="75">
        <v>0.1</v>
      </c>
      <c r="H49" s="75">
        <v>0.35</v>
      </c>
      <c r="I49" s="75">
        <f t="shared" si="128"/>
        <v>1556</v>
      </c>
      <c r="J49" s="75">
        <v>150</v>
      </c>
      <c r="K49" s="74">
        <v>1500</v>
      </c>
      <c r="L49" s="104"/>
      <c r="M49" s="67">
        <v>9000</v>
      </c>
      <c r="N49" s="76">
        <v>2.5</v>
      </c>
      <c r="O49" s="77">
        <v>24500</v>
      </c>
      <c r="P49" s="77">
        <v>2.5</v>
      </c>
      <c r="Q49" s="77"/>
      <c r="R49" s="77">
        <v>3</v>
      </c>
      <c r="S49" s="77">
        <v>24500</v>
      </c>
      <c r="T49" s="59">
        <v>3</v>
      </c>
      <c r="U49" s="78">
        <v>12000</v>
      </c>
      <c r="V49" s="59"/>
      <c r="W49" s="59"/>
      <c r="X49" s="59"/>
      <c r="Y49" s="59"/>
      <c r="Z49" s="65">
        <v>4</v>
      </c>
      <c r="AA49" s="102"/>
      <c r="AB49" s="70">
        <v>10000</v>
      </c>
      <c r="AC49" s="62">
        <v>3</v>
      </c>
      <c r="AD49" s="94">
        <v>24500</v>
      </c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8">
        <v>1</v>
      </c>
      <c r="AP49" s="97"/>
      <c r="AQ49" s="72">
        <f t="shared" ref="AQ49:AQ54" si="130">N49+P49+R49+T49+V49+X49</f>
        <v>11</v>
      </c>
      <c r="AR49" s="72">
        <f>O49+Q49+S49+U49+W49+Y49</f>
        <v>61000</v>
      </c>
      <c r="AS49" s="65">
        <v>7</v>
      </c>
      <c r="AT49" s="66">
        <f t="shared" ref="AT49:AT54" si="131">AQ49*AS49*4*12</f>
        <v>3696</v>
      </c>
      <c r="AU49" s="66">
        <f t="shared" ref="AU49:AU54" si="132">AT49*M49</f>
        <v>33264000</v>
      </c>
      <c r="AV49" s="67">
        <f t="shared" ref="AV49:AV54" si="133">AT49*K49</f>
        <v>5544000</v>
      </c>
      <c r="AW49" s="67">
        <f t="shared" ref="AW49:AW54" si="134">Z49*J49*AS49*4*12</f>
        <v>201600</v>
      </c>
      <c r="AX49" s="66">
        <f t="shared" ref="AX49:AX54" si="135">AT49*E49</f>
        <v>3326400</v>
      </c>
      <c r="AY49" s="67">
        <f t="shared" ref="AY49:AY54" si="136">AX49*F49</f>
        <v>9979200</v>
      </c>
      <c r="AZ49" s="67">
        <f t="shared" ref="AZ49:AZ54" si="137">AT49*D49*H49</f>
        <v>646800</v>
      </c>
      <c r="BA49" s="67">
        <f t="shared" ref="BA49:BA54" si="138">Z49*I49*AS49*4*12</f>
        <v>2091264</v>
      </c>
      <c r="BB49" s="66">
        <f t="shared" ref="BB49:BB54" si="139">AR49*AS49*4*12</f>
        <v>20496000</v>
      </c>
      <c r="BC49" s="67">
        <f t="shared" ref="BC49:BC54" si="140">BB49*G49</f>
        <v>2049600</v>
      </c>
      <c r="BD49" s="82">
        <f t="shared" ref="BD49:BD54" si="141">BB49*$BD$47</f>
        <v>61488000</v>
      </c>
      <c r="BE49" s="82">
        <f t="shared" ref="BE49:BE54" si="142">BB49*$BE$47</f>
        <v>40992000</v>
      </c>
      <c r="BF49" s="98"/>
      <c r="BG49" s="58">
        <f t="shared" ref="BG49:BG54" si="143">AC49+AE49+AG49+AI49+AK49+AM49</f>
        <v>3</v>
      </c>
      <c r="BH49" s="90">
        <f>AD49+AF49+AH49+AJ49+AL49+AN49</f>
        <v>24500</v>
      </c>
      <c r="BI49" s="68">
        <v>7</v>
      </c>
      <c r="BJ49" s="69">
        <f t="shared" si="129"/>
        <v>1008</v>
      </c>
      <c r="BK49" s="69">
        <f>BJ49*AB49</f>
        <v>10080000</v>
      </c>
      <c r="BL49" s="70">
        <f>BJ49*K49</f>
        <v>1512000</v>
      </c>
      <c r="BM49" s="70">
        <f>BI49*AO49*4*12*J49</f>
        <v>50400</v>
      </c>
      <c r="BN49" s="69">
        <f t="shared" ref="BN49:BN54" si="144">BJ49*E49</f>
        <v>907200</v>
      </c>
      <c r="BO49" s="70">
        <f t="shared" ref="BO49:BO54" si="145">BN49*F49</f>
        <v>2721600</v>
      </c>
      <c r="BP49" s="70">
        <f t="shared" ref="BP49:BP54" si="146">BJ49*D49*H49</f>
        <v>176400</v>
      </c>
      <c r="BQ49" s="70">
        <f t="shared" ref="BQ49:BQ54" si="147">BI49*AO49*I49*4*12</f>
        <v>522816</v>
      </c>
      <c r="BR49" s="69">
        <f t="shared" ref="BR49:BR54" si="148">BH49*BI49*4*12</f>
        <v>8232000</v>
      </c>
      <c r="BS49" s="70">
        <f t="shared" ref="BS49:BS54" si="149">BR49*G49</f>
        <v>823200</v>
      </c>
    </row>
    <row r="50" spans="1:71" x14ac:dyDescent="0.25">
      <c r="A50">
        <v>2</v>
      </c>
      <c r="B50" s="73" t="s">
        <v>113</v>
      </c>
      <c r="C50" s="73">
        <v>77800</v>
      </c>
      <c r="D50" s="73">
        <v>500</v>
      </c>
      <c r="E50" s="74">
        <v>900</v>
      </c>
      <c r="F50" s="75">
        <v>3</v>
      </c>
      <c r="G50" s="75">
        <v>0.1</v>
      </c>
      <c r="H50" s="75">
        <v>0.35</v>
      </c>
      <c r="I50" s="75">
        <f t="shared" si="128"/>
        <v>1556</v>
      </c>
      <c r="J50" s="75">
        <v>150</v>
      </c>
      <c r="K50" s="74">
        <v>1500</v>
      </c>
      <c r="L50" s="104"/>
      <c r="M50" s="67">
        <v>9000</v>
      </c>
      <c r="N50" s="76">
        <v>2.5</v>
      </c>
      <c r="O50" s="77">
        <v>24500</v>
      </c>
      <c r="P50" s="77">
        <v>2.5</v>
      </c>
      <c r="Q50" s="77"/>
      <c r="R50" s="77">
        <v>3</v>
      </c>
      <c r="S50" s="77">
        <v>24500</v>
      </c>
      <c r="T50" s="59">
        <v>3</v>
      </c>
      <c r="U50" s="78">
        <v>12000</v>
      </c>
      <c r="V50" s="59"/>
      <c r="W50" s="59"/>
      <c r="X50" s="59"/>
      <c r="Y50" s="59"/>
      <c r="Z50" s="65">
        <v>4</v>
      </c>
      <c r="AA50" s="102"/>
      <c r="AB50" s="70">
        <v>10000</v>
      </c>
      <c r="AC50" s="62">
        <v>3</v>
      </c>
      <c r="AD50" s="94">
        <v>24500</v>
      </c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8">
        <v>1</v>
      </c>
      <c r="AP50" s="97"/>
      <c r="AQ50" s="72">
        <f t="shared" si="130"/>
        <v>11</v>
      </c>
      <c r="AR50" s="72">
        <f t="shared" ref="AR50:AR54" si="150">O50+Q50+S50+U50+W50+Y50</f>
        <v>61000</v>
      </c>
      <c r="AS50" s="65">
        <v>5</v>
      </c>
      <c r="AT50" s="66">
        <f t="shared" si="131"/>
        <v>2640</v>
      </c>
      <c r="AU50" s="66">
        <f t="shared" si="132"/>
        <v>23760000</v>
      </c>
      <c r="AV50" s="67">
        <f t="shared" si="133"/>
        <v>3960000</v>
      </c>
      <c r="AW50" s="67">
        <f t="shared" si="134"/>
        <v>144000</v>
      </c>
      <c r="AX50" s="66">
        <f t="shared" si="135"/>
        <v>2376000</v>
      </c>
      <c r="AY50" s="67">
        <f t="shared" si="136"/>
        <v>7128000</v>
      </c>
      <c r="AZ50" s="67">
        <f t="shared" si="137"/>
        <v>461999.99999999994</v>
      </c>
      <c r="BA50" s="67">
        <f t="shared" si="138"/>
        <v>1493760</v>
      </c>
      <c r="BB50" s="66">
        <f t="shared" si="139"/>
        <v>14640000</v>
      </c>
      <c r="BC50" s="67">
        <f t="shared" si="140"/>
        <v>1464000</v>
      </c>
      <c r="BD50" s="82">
        <f t="shared" si="141"/>
        <v>43920000</v>
      </c>
      <c r="BE50" s="82">
        <f t="shared" si="142"/>
        <v>29280000</v>
      </c>
      <c r="BF50" s="98"/>
      <c r="BG50" s="58">
        <f t="shared" si="143"/>
        <v>3</v>
      </c>
      <c r="BH50" s="90">
        <f t="shared" ref="BH50:BH54" si="151">AE50+AG50+AI50+AK50+AM50+AO50</f>
        <v>1</v>
      </c>
      <c r="BI50" s="68">
        <v>7</v>
      </c>
      <c r="BJ50" s="69">
        <f t="shared" si="129"/>
        <v>1008</v>
      </c>
      <c r="BK50" s="69">
        <f t="shared" ref="BK50:BK54" si="152">BJ50*AB50</f>
        <v>10080000</v>
      </c>
      <c r="BL50" s="70">
        <f t="shared" ref="BL50:BL54" si="153">BJ50*K50</f>
        <v>1512000</v>
      </c>
      <c r="BM50" s="70">
        <f t="shared" ref="BM50:BM54" si="154">BI50*AO50*4*12*J50</f>
        <v>50400</v>
      </c>
      <c r="BN50" s="69">
        <f t="shared" si="144"/>
        <v>907200</v>
      </c>
      <c r="BO50" s="70">
        <f t="shared" si="145"/>
        <v>2721600</v>
      </c>
      <c r="BP50" s="70">
        <f t="shared" si="146"/>
        <v>176400</v>
      </c>
      <c r="BQ50" s="70">
        <f t="shared" si="147"/>
        <v>522816</v>
      </c>
      <c r="BR50" s="69">
        <f t="shared" si="148"/>
        <v>336</v>
      </c>
      <c r="BS50" s="70">
        <f t="shared" si="149"/>
        <v>33.6</v>
      </c>
    </row>
    <row r="51" spans="1:71" x14ac:dyDescent="0.25">
      <c r="A51">
        <v>3</v>
      </c>
      <c r="B51" s="73" t="s">
        <v>113</v>
      </c>
      <c r="C51" s="73">
        <v>77800</v>
      </c>
      <c r="D51" s="73">
        <v>500</v>
      </c>
      <c r="E51" s="74">
        <v>900</v>
      </c>
      <c r="F51" s="75">
        <v>3</v>
      </c>
      <c r="G51" s="75">
        <v>0.1</v>
      </c>
      <c r="H51" s="75">
        <v>0.35</v>
      </c>
      <c r="I51" s="75">
        <f t="shared" si="128"/>
        <v>1556</v>
      </c>
      <c r="J51" s="75">
        <v>150</v>
      </c>
      <c r="K51" s="74">
        <v>1500</v>
      </c>
      <c r="L51" s="104"/>
      <c r="M51" s="67">
        <v>9000</v>
      </c>
      <c r="N51" s="76">
        <v>2.5</v>
      </c>
      <c r="O51" s="77">
        <v>24500</v>
      </c>
      <c r="P51" s="77">
        <v>2.5</v>
      </c>
      <c r="Q51" s="77"/>
      <c r="R51" s="77">
        <v>3</v>
      </c>
      <c r="S51" s="77">
        <v>24500</v>
      </c>
      <c r="T51" s="59">
        <v>3</v>
      </c>
      <c r="U51" s="78">
        <v>12000</v>
      </c>
      <c r="V51" s="59"/>
      <c r="W51" s="59"/>
      <c r="X51" s="59"/>
      <c r="Y51" s="59"/>
      <c r="Z51" s="65">
        <v>4</v>
      </c>
      <c r="AA51" s="102"/>
      <c r="AB51" s="70">
        <v>10000</v>
      </c>
      <c r="AC51" s="62">
        <v>3</v>
      </c>
      <c r="AD51" s="94">
        <v>24500</v>
      </c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8">
        <v>1</v>
      </c>
      <c r="AP51" s="97"/>
      <c r="AQ51" s="72">
        <f t="shared" si="130"/>
        <v>11</v>
      </c>
      <c r="AR51" s="72">
        <f t="shared" si="150"/>
        <v>61000</v>
      </c>
      <c r="AS51" s="65">
        <v>5</v>
      </c>
      <c r="AT51" s="66">
        <f t="shared" si="131"/>
        <v>2640</v>
      </c>
      <c r="AU51" s="66">
        <f t="shared" si="132"/>
        <v>23760000</v>
      </c>
      <c r="AV51" s="67">
        <f t="shared" si="133"/>
        <v>3960000</v>
      </c>
      <c r="AW51" s="67">
        <f t="shared" si="134"/>
        <v>144000</v>
      </c>
      <c r="AX51" s="66">
        <f t="shared" si="135"/>
        <v>2376000</v>
      </c>
      <c r="AY51" s="67">
        <f t="shared" si="136"/>
        <v>7128000</v>
      </c>
      <c r="AZ51" s="67">
        <f t="shared" si="137"/>
        <v>461999.99999999994</v>
      </c>
      <c r="BA51" s="67">
        <f t="shared" si="138"/>
        <v>1493760</v>
      </c>
      <c r="BB51" s="66">
        <f t="shared" si="139"/>
        <v>14640000</v>
      </c>
      <c r="BC51" s="67">
        <f t="shared" si="140"/>
        <v>1464000</v>
      </c>
      <c r="BD51" s="82">
        <f t="shared" si="141"/>
        <v>43920000</v>
      </c>
      <c r="BE51" s="82">
        <f t="shared" si="142"/>
        <v>29280000</v>
      </c>
      <c r="BF51" s="98"/>
      <c r="BG51" s="58">
        <f t="shared" si="143"/>
        <v>3</v>
      </c>
      <c r="BH51" s="90">
        <f t="shared" si="151"/>
        <v>1</v>
      </c>
      <c r="BI51" s="68">
        <v>7</v>
      </c>
      <c r="BJ51" s="69">
        <f t="shared" si="129"/>
        <v>1008</v>
      </c>
      <c r="BK51" s="69">
        <f t="shared" si="152"/>
        <v>10080000</v>
      </c>
      <c r="BL51" s="70">
        <f t="shared" si="153"/>
        <v>1512000</v>
      </c>
      <c r="BM51" s="70">
        <f t="shared" si="154"/>
        <v>50400</v>
      </c>
      <c r="BN51" s="69">
        <f t="shared" si="144"/>
        <v>907200</v>
      </c>
      <c r="BO51" s="70">
        <f t="shared" si="145"/>
        <v>2721600</v>
      </c>
      <c r="BP51" s="70">
        <f t="shared" si="146"/>
        <v>176400</v>
      </c>
      <c r="BQ51" s="70">
        <f t="shared" si="147"/>
        <v>522816</v>
      </c>
      <c r="BR51" s="69">
        <f t="shared" si="148"/>
        <v>336</v>
      </c>
      <c r="BS51" s="70">
        <f t="shared" si="149"/>
        <v>33.6</v>
      </c>
    </row>
    <row r="52" spans="1:71" x14ac:dyDescent="0.25">
      <c r="A52">
        <v>4</v>
      </c>
      <c r="B52" s="73" t="s">
        <v>113</v>
      </c>
      <c r="C52" s="73">
        <v>77800</v>
      </c>
      <c r="D52" s="73">
        <v>500</v>
      </c>
      <c r="E52" s="74">
        <v>900</v>
      </c>
      <c r="F52" s="75">
        <v>3</v>
      </c>
      <c r="G52" s="75">
        <v>0.1</v>
      </c>
      <c r="H52" s="75">
        <v>0.35</v>
      </c>
      <c r="I52" s="75">
        <f t="shared" si="128"/>
        <v>1556</v>
      </c>
      <c r="J52" s="75">
        <v>150</v>
      </c>
      <c r="K52" s="74">
        <v>1500</v>
      </c>
      <c r="L52" s="104"/>
      <c r="M52" s="67">
        <v>9000</v>
      </c>
      <c r="N52" s="77"/>
      <c r="O52" s="77"/>
      <c r="P52" s="77"/>
      <c r="Q52" s="77"/>
      <c r="R52" s="77"/>
      <c r="S52" s="77"/>
      <c r="T52" s="59"/>
      <c r="U52" s="78"/>
      <c r="V52" s="59"/>
      <c r="W52" s="59"/>
      <c r="X52" s="59"/>
      <c r="Y52" s="59"/>
      <c r="Z52" s="65"/>
      <c r="AA52" s="102"/>
      <c r="AB52" s="70">
        <v>10000</v>
      </c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8"/>
      <c r="AP52" s="97"/>
      <c r="AQ52" s="72">
        <f t="shared" si="130"/>
        <v>0</v>
      </c>
      <c r="AR52" s="72">
        <f t="shared" si="150"/>
        <v>0</v>
      </c>
      <c r="AS52" s="65"/>
      <c r="AT52" s="66">
        <f t="shared" si="131"/>
        <v>0</v>
      </c>
      <c r="AU52" s="66">
        <f t="shared" si="132"/>
        <v>0</v>
      </c>
      <c r="AV52" s="67">
        <f t="shared" si="133"/>
        <v>0</v>
      </c>
      <c r="AW52" s="67">
        <f t="shared" si="134"/>
        <v>0</v>
      </c>
      <c r="AX52" s="66">
        <f t="shared" si="135"/>
        <v>0</v>
      </c>
      <c r="AY52" s="67">
        <f t="shared" si="136"/>
        <v>0</v>
      </c>
      <c r="AZ52" s="67">
        <f t="shared" si="137"/>
        <v>0</v>
      </c>
      <c r="BA52" s="67">
        <f t="shared" si="138"/>
        <v>0</v>
      </c>
      <c r="BB52" s="66">
        <f t="shared" si="139"/>
        <v>0</v>
      </c>
      <c r="BC52" s="67">
        <f t="shared" si="140"/>
        <v>0</v>
      </c>
      <c r="BD52" s="82">
        <f t="shared" si="141"/>
        <v>0</v>
      </c>
      <c r="BE52" s="82">
        <f t="shared" si="142"/>
        <v>0</v>
      </c>
      <c r="BF52" s="98"/>
      <c r="BG52" s="58">
        <f t="shared" si="143"/>
        <v>0</v>
      </c>
      <c r="BH52" s="90">
        <f t="shared" si="151"/>
        <v>0</v>
      </c>
      <c r="BI52" s="68"/>
      <c r="BJ52" s="69">
        <f t="shared" si="129"/>
        <v>0</v>
      </c>
      <c r="BK52" s="69">
        <f t="shared" si="152"/>
        <v>0</v>
      </c>
      <c r="BL52" s="70">
        <f t="shared" si="153"/>
        <v>0</v>
      </c>
      <c r="BM52" s="70">
        <f t="shared" si="154"/>
        <v>0</v>
      </c>
      <c r="BN52" s="69">
        <f t="shared" si="144"/>
        <v>0</v>
      </c>
      <c r="BO52" s="70">
        <f t="shared" si="145"/>
        <v>0</v>
      </c>
      <c r="BP52" s="70">
        <f t="shared" si="146"/>
        <v>0</v>
      </c>
      <c r="BQ52" s="70">
        <f t="shared" si="147"/>
        <v>0</v>
      </c>
      <c r="BR52" s="69">
        <f t="shared" si="148"/>
        <v>0</v>
      </c>
      <c r="BS52" s="70">
        <f t="shared" si="149"/>
        <v>0</v>
      </c>
    </row>
    <row r="53" spans="1:71" x14ac:dyDescent="0.25">
      <c r="A53">
        <v>3</v>
      </c>
      <c r="B53" s="73" t="s">
        <v>114</v>
      </c>
      <c r="C53" s="73">
        <v>260800</v>
      </c>
      <c r="D53" s="73">
        <v>500</v>
      </c>
      <c r="E53" s="74">
        <v>1800</v>
      </c>
      <c r="F53" s="75">
        <v>3</v>
      </c>
      <c r="G53" s="75">
        <v>0.1</v>
      </c>
      <c r="H53" s="75">
        <v>0.35</v>
      </c>
      <c r="I53" s="75">
        <f t="shared" si="128"/>
        <v>5216</v>
      </c>
      <c r="J53" s="75">
        <v>350</v>
      </c>
      <c r="K53" s="74">
        <v>5500</v>
      </c>
      <c r="L53" s="104"/>
      <c r="M53" s="67">
        <v>18000</v>
      </c>
      <c r="N53" s="77">
        <v>13</v>
      </c>
      <c r="O53" s="77">
        <v>102000</v>
      </c>
      <c r="P53" s="77"/>
      <c r="Q53" s="77"/>
      <c r="R53" s="77"/>
      <c r="S53" s="77"/>
      <c r="T53" s="59"/>
      <c r="U53" s="78"/>
      <c r="V53" s="59"/>
      <c r="W53" s="59"/>
      <c r="X53" s="59"/>
      <c r="Y53" s="59"/>
      <c r="Z53" s="65">
        <v>1</v>
      </c>
      <c r="AA53" s="102"/>
      <c r="AB53" s="70">
        <v>20000</v>
      </c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8"/>
      <c r="AP53" s="97"/>
      <c r="AQ53" s="72">
        <f t="shared" si="130"/>
        <v>13</v>
      </c>
      <c r="AR53" s="72">
        <f t="shared" si="150"/>
        <v>102000</v>
      </c>
      <c r="AS53" s="65">
        <v>6</v>
      </c>
      <c r="AT53" s="66">
        <f t="shared" si="131"/>
        <v>3744</v>
      </c>
      <c r="AU53" s="66">
        <f t="shared" si="132"/>
        <v>67392000</v>
      </c>
      <c r="AV53" s="67">
        <f t="shared" si="133"/>
        <v>20592000</v>
      </c>
      <c r="AW53" s="67">
        <f t="shared" si="134"/>
        <v>100800</v>
      </c>
      <c r="AX53" s="66">
        <f t="shared" si="135"/>
        <v>6739200</v>
      </c>
      <c r="AY53" s="67">
        <f t="shared" si="136"/>
        <v>20217600</v>
      </c>
      <c r="AZ53" s="67">
        <f t="shared" si="137"/>
        <v>655200</v>
      </c>
      <c r="BA53" s="67">
        <f t="shared" si="138"/>
        <v>1502208</v>
      </c>
      <c r="BB53" s="66">
        <f t="shared" si="139"/>
        <v>29376000</v>
      </c>
      <c r="BC53" s="67">
        <f t="shared" si="140"/>
        <v>2937600</v>
      </c>
      <c r="BD53" s="82">
        <f t="shared" si="141"/>
        <v>88128000</v>
      </c>
      <c r="BE53" s="82">
        <f t="shared" si="142"/>
        <v>58752000</v>
      </c>
      <c r="BF53" s="98"/>
      <c r="BG53" s="58">
        <f t="shared" si="143"/>
        <v>0</v>
      </c>
      <c r="BH53" s="90">
        <f t="shared" si="151"/>
        <v>0</v>
      </c>
      <c r="BI53" s="68"/>
      <c r="BJ53" s="69">
        <f t="shared" si="129"/>
        <v>0</v>
      </c>
      <c r="BK53" s="69">
        <f t="shared" si="152"/>
        <v>0</v>
      </c>
      <c r="BL53" s="70">
        <f t="shared" si="153"/>
        <v>0</v>
      </c>
      <c r="BM53" s="70">
        <f t="shared" si="154"/>
        <v>0</v>
      </c>
      <c r="BN53" s="69">
        <f t="shared" si="144"/>
        <v>0</v>
      </c>
      <c r="BO53" s="70">
        <f t="shared" si="145"/>
        <v>0</v>
      </c>
      <c r="BP53" s="70">
        <f t="shared" si="146"/>
        <v>0</v>
      </c>
      <c r="BQ53" s="70">
        <f t="shared" si="147"/>
        <v>0</v>
      </c>
      <c r="BR53" s="69">
        <f t="shared" si="148"/>
        <v>0</v>
      </c>
      <c r="BS53" s="70">
        <f t="shared" si="149"/>
        <v>0</v>
      </c>
    </row>
    <row r="54" spans="1:71" x14ac:dyDescent="0.25">
      <c r="A54">
        <v>4</v>
      </c>
      <c r="B54" s="73" t="s">
        <v>114</v>
      </c>
      <c r="C54" s="73">
        <v>260800</v>
      </c>
      <c r="D54" s="73">
        <v>500</v>
      </c>
      <c r="E54" s="74">
        <v>1800</v>
      </c>
      <c r="F54" s="75">
        <v>3</v>
      </c>
      <c r="G54" s="75">
        <v>0.1</v>
      </c>
      <c r="H54" s="75">
        <v>0.35</v>
      </c>
      <c r="I54" s="75">
        <f>C54*0.02</f>
        <v>5216</v>
      </c>
      <c r="J54" s="75">
        <v>350</v>
      </c>
      <c r="K54" s="74">
        <v>5500</v>
      </c>
      <c r="L54" s="104"/>
      <c r="M54" s="67">
        <v>18000</v>
      </c>
      <c r="N54" s="77">
        <v>13</v>
      </c>
      <c r="O54" s="77">
        <v>102000</v>
      </c>
      <c r="P54" s="77"/>
      <c r="Q54" s="77"/>
      <c r="R54" s="77"/>
      <c r="S54" s="77"/>
      <c r="T54" s="59"/>
      <c r="U54" s="78"/>
      <c r="V54" s="59"/>
      <c r="W54" s="59"/>
      <c r="X54" s="59"/>
      <c r="Y54" s="59"/>
      <c r="Z54" s="65">
        <v>1</v>
      </c>
      <c r="AA54" s="102"/>
      <c r="AB54" s="70">
        <v>20000</v>
      </c>
      <c r="AC54" s="62">
        <v>13</v>
      </c>
      <c r="AD54" s="62">
        <v>102000</v>
      </c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8">
        <v>1</v>
      </c>
      <c r="AP54" s="97"/>
      <c r="AQ54" s="72">
        <f t="shared" si="130"/>
        <v>13</v>
      </c>
      <c r="AR54" s="72">
        <f t="shared" si="150"/>
        <v>102000</v>
      </c>
      <c r="AS54" s="65">
        <v>3</v>
      </c>
      <c r="AT54" s="66">
        <f t="shared" si="131"/>
        <v>1872</v>
      </c>
      <c r="AU54" s="66">
        <f t="shared" si="132"/>
        <v>33696000</v>
      </c>
      <c r="AV54" s="67">
        <f t="shared" si="133"/>
        <v>10296000</v>
      </c>
      <c r="AW54" s="67">
        <f t="shared" si="134"/>
        <v>50400</v>
      </c>
      <c r="AX54" s="66">
        <f t="shared" si="135"/>
        <v>3369600</v>
      </c>
      <c r="AY54" s="67">
        <f t="shared" si="136"/>
        <v>10108800</v>
      </c>
      <c r="AZ54" s="67">
        <f t="shared" si="137"/>
        <v>327600</v>
      </c>
      <c r="BA54" s="67">
        <f t="shared" si="138"/>
        <v>751104</v>
      </c>
      <c r="BB54" s="66">
        <f t="shared" si="139"/>
        <v>14688000</v>
      </c>
      <c r="BC54" s="67">
        <f t="shared" si="140"/>
        <v>1468800</v>
      </c>
      <c r="BD54" s="82">
        <f t="shared" si="141"/>
        <v>44064000</v>
      </c>
      <c r="BE54" s="82">
        <f t="shared" si="142"/>
        <v>29376000</v>
      </c>
      <c r="BF54" s="98"/>
      <c r="BG54" s="58">
        <f t="shared" si="143"/>
        <v>13</v>
      </c>
      <c r="BH54" s="90">
        <f t="shared" si="151"/>
        <v>1</v>
      </c>
      <c r="BI54" s="68">
        <v>3</v>
      </c>
      <c r="BJ54" s="69">
        <f t="shared" si="129"/>
        <v>1872</v>
      </c>
      <c r="BK54" s="69">
        <f t="shared" si="152"/>
        <v>37440000</v>
      </c>
      <c r="BL54" s="70">
        <f t="shared" si="153"/>
        <v>10296000</v>
      </c>
      <c r="BM54" s="70">
        <f t="shared" si="154"/>
        <v>50400</v>
      </c>
      <c r="BN54" s="69">
        <f t="shared" si="144"/>
        <v>3369600</v>
      </c>
      <c r="BO54" s="70">
        <f t="shared" si="145"/>
        <v>10108800</v>
      </c>
      <c r="BP54" s="70">
        <f t="shared" si="146"/>
        <v>327600</v>
      </c>
      <c r="BQ54" s="70">
        <f t="shared" si="147"/>
        <v>751104</v>
      </c>
      <c r="BR54" s="69">
        <f t="shared" si="148"/>
        <v>144</v>
      </c>
      <c r="BS54" s="70">
        <f t="shared" si="149"/>
        <v>14.4</v>
      </c>
    </row>
    <row r="55" spans="1:71" x14ac:dyDescent="0.25">
      <c r="AA55" s="98"/>
      <c r="AP55" s="98"/>
      <c r="AQ55" s="82">
        <f>SUM(AQ48:AQ52)</f>
        <v>44</v>
      </c>
      <c r="AR55" s="61"/>
      <c r="AS55" s="60"/>
      <c r="AT55" s="82">
        <f t="shared" ref="AT55" si="155">SUM(AT48:AT54)</f>
        <v>18288</v>
      </c>
      <c r="AU55" s="82">
        <f>SUM(AU48:AU52)</f>
        <v>114048000</v>
      </c>
      <c r="AV55" s="83">
        <f t="shared" ref="AV55" si="156">SUM(AV48:AV54)</f>
        <v>49896000</v>
      </c>
      <c r="AW55" s="83">
        <f t="shared" ref="AW55" si="157">SUM(AW48:AW54)</f>
        <v>842400</v>
      </c>
      <c r="AX55" s="84">
        <f t="shared" ref="AX55" si="158">SUM(AX48:AX54)</f>
        <v>21513600</v>
      </c>
      <c r="AY55" s="83">
        <f>SUM(AY48:AY54)</f>
        <v>64540800</v>
      </c>
      <c r="AZ55" s="83">
        <f t="shared" ref="AZ55" si="159">SUM(AZ48:AZ54)</f>
        <v>3200400</v>
      </c>
      <c r="BA55" s="83">
        <f t="shared" ref="BA55" si="160">SUM(BA48:BA54)</f>
        <v>9423360</v>
      </c>
      <c r="BB55" s="49">
        <f>SUM(BB48:BB52)</f>
        <v>70272000</v>
      </c>
      <c r="BC55" s="82">
        <f t="shared" ref="BC55" si="161">SUM(BC48:BC54)</f>
        <v>11433600</v>
      </c>
      <c r="BD55" s="82">
        <f>SUM(BD48:BD52)</f>
        <v>210816000</v>
      </c>
      <c r="BE55" s="66">
        <f>SUM(BE48:BE52)</f>
        <v>140544000</v>
      </c>
      <c r="BF55" s="98"/>
      <c r="BG55" s="85">
        <f>SUM(BG48:BG52)</f>
        <v>12</v>
      </c>
      <c r="BH55" s="63"/>
      <c r="BI55" s="64"/>
      <c r="BJ55" s="85">
        <f t="shared" ref="BJ55" si="162">SUM(BJ48:BJ54)</f>
        <v>5904</v>
      </c>
      <c r="BK55" s="108">
        <f t="shared" ref="BK55" si="163">SUM(BK48:BK54)</f>
        <v>77760000</v>
      </c>
      <c r="BL55" s="86">
        <f t="shared" ref="BL55" si="164">SUM(BL48:BL54)</f>
        <v>16344000</v>
      </c>
      <c r="BM55" s="86">
        <f t="shared" ref="BM55" si="165">SUM(BM48:BM54)</f>
        <v>252000</v>
      </c>
      <c r="BN55" s="91">
        <f t="shared" ref="BN55" si="166">SUM(BN48:BN54)</f>
        <v>6998400</v>
      </c>
      <c r="BO55" s="86">
        <f>SUM(BO48:BO54)</f>
        <v>20995200</v>
      </c>
      <c r="BP55" s="86">
        <f t="shared" ref="BP55" si="167">SUM(BP48:BP54)</f>
        <v>1033200</v>
      </c>
      <c r="BQ55" s="86">
        <f t="shared" ref="BQ55" si="168">SUM(BQ48:BQ54)</f>
        <v>2842368</v>
      </c>
      <c r="BR55" s="85">
        <f t="shared" ref="BR55" si="169">SUM(BR48:BR54)</f>
        <v>16464816</v>
      </c>
      <c r="BS55" s="85">
        <f>SUM(BS48:BS54)</f>
        <v>1646481.6</v>
      </c>
    </row>
    <row r="56" spans="1:71" x14ac:dyDescent="0.25">
      <c r="AQ56" s="82">
        <f>SUM(AQ53:AQ54)</f>
        <v>26</v>
      </c>
      <c r="AR56" s="61"/>
      <c r="AS56" s="60"/>
      <c r="AT56" s="61"/>
      <c r="AU56" s="82">
        <f>SUM(AU53:AU54)</f>
        <v>101088000</v>
      </c>
      <c r="AV56" s="61"/>
      <c r="AW56" s="61"/>
      <c r="AX56" s="61"/>
      <c r="AY56" s="61"/>
      <c r="AZ56" s="61"/>
      <c r="BA56" s="61"/>
      <c r="BB56" s="82">
        <f>SUM(BB53:BB54)</f>
        <v>44064000</v>
      </c>
      <c r="BC56" s="61"/>
      <c r="BD56" s="82">
        <f>SUM(BD53:BD54)</f>
        <v>132192000</v>
      </c>
      <c r="BE56" s="66">
        <f>SUM(BE53:BE54)</f>
        <v>88128000</v>
      </c>
      <c r="BF56" s="98"/>
      <c r="BG56" s="82">
        <f>SUM(BG53:BG54)</f>
        <v>13</v>
      </c>
      <c r="BJ56" s="49">
        <f>BJ55+AT55</f>
        <v>24192</v>
      </c>
      <c r="BK56" s="105" t="s">
        <v>162</v>
      </c>
      <c r="BL56" s="105">
        <f>BL55+AV55</f>
        <v>66240000</v>
      </c>
      <c r="BN56" s="106" t="s">
        <v>161</v>
      </c>
      <c r="BO56" s="107">
        <f>BO55+AY55</f>
        <v>85536000</v>
      </c>
      <c r="BP56" s="110" t="s">
        <v>163</v>
      </c>
      <c r="BQ56" s="111">
        <f>BQ55+BP55+BM55+BS55+BC55+BA55+AZ55+AW55</f>
        <v>30673809.600000001</v>
      </c>
    </row>
    <row r="57" spans="1:71" x14ac:dyDescent="0.25">
      <c r="AU57" s="109">
        <f>SUM(AU55:AU56)</f>
        <v>215136000</v>
      </c>
      <c r="BB57" s="82">
        <f>SUM(BB55:BB56)</f>
        <v>114336000</v>
      </c>
      <c r="BD57" s="82">
        <f>SUM(BD55:BD56)</f>
        <v>343008000</v>
      </c>
      <c r="BE57" s="66">
        <f>SUM(BE55:BE56)</f>
        <v>228672000</v>
      </c>
    </row>
    <row r="58" spans="1:71" x14ac:dyDescent="0.25">
      <c r="BD58" s="113">
        <f>AU55+BD55+BE55</f>
        <v>465408000</v>
      </c>
    </row>
    <row r="59" spans="1:71" x14ac:dyDescent="0.25">
      <c r="BD59" s="113">
        <f>AU56+BD56+BE56</f>
        <v>321408000</v>
      </c>
      <c r="BE59" s="87">
        <f>BD57+BE57+AU57</f>
        <v>786816000</v>
      </c>
    </row>
    <row r="62" spans="1:71" x14ac:dyDescent="0.25">
      <c r="L62" s="98"/>
      <c r="M62" s="130" t="s">
        <v>132</v>
      </c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60"/>
      <c r="AA62" s="99"/>
      <c r="AB62" s="128" t="s">
        <v>133</v>
      </c>
      <c r="AC62" s="128"/>
      <c r="AD62" s="128"/>
      <c r="AE62" s="128"/>
      <c r="AF62" s="128"/>
      <c r="AG62" s="128"/>
      <c r="AH62" s="128"/>
      <c r="AI62" s="128"/>
      <c r="AJ62" s="128"/>
      <c r="AK62" s="128"/>
      <c r="AL62" s="128"/>
      <c r="AM62" s="128"/>
      <c r="AN62" s="128"/>
      <c r="AO62" s="128"/>
      <c r="AP62" s="95"/>
      <c r="AQ62" s="129" t="s">
        <v>132</v>
      </c>
      <c r="AR62" s="129"/>
      <c r="AS62" s="129"/>
      <c r="AT62" s="129"/>
      <c r="AU62" s="129"/>
      <c r="AV62" s="129"/>
      <c r="AW62" s="129"/>
      <c r="AX62" s="129"/>
      <c r="AY62" s="129"/>
      <c r="AZ62" s="129"/>
      <c r="BA62" s="129"/>
      <c r="BB62" s="129"/>
      <c r="BC62" s="129"/>
      <c r="BD62" s="129"/>
      <c r="BE62" s="129"/>
      <c r="BF62" s="98"/>
      <c r="BG62" s="128" t="s">
        <v>132</v>
      </c>
      <c r="BH62" s="128"/>
      <c r="BI62" s="128"/>
      <c r="BJ62" s="128"/>
      <c r="BK62" s="128"/>
      <c r="BL62" s="128"/>
      <c r="BM62" s="128"/>
      <c r="BN62" s="128"/>
      <c r="BO62" s="128"/>
      <c r="BP62" s="128"/>
      <c r="BQ62" s="128"/>
      <c r="BR62" s="128"/>
      <c r="BS62" s="128"/>
    </row>
    <row r="63" spans="1:71" x14ac:dyDescent="0.25">
      <c r="B63" s="73"/>
      <c r="C63" s="73"/>
      <c r="D63" s="73"/>
      <c r="E63" s="73" t="s">
        <v>137</v>
      </c>
      <c r="F63" s="73"/>
      <c r="G63" s="73"/>
      <c r="H63" s="73"/>
      <c r="I63" s="73"/>
      <c r="J63" s="73"/>
      <c r="K63" s="73" t="s">
        <v>135</v>
      </c>
      <c r="L63" s="103"/>
      <c r="M63" s="131" t="s">
        <v>149</v>
      </c>
      <c r="N63" s="130" t="s">
        <v>124</v>
      </c>
      <c r="O63" s="130"/>
      <c r="P63" s="130" t="s">
        <v>125</v>
      </c>
      <c r="Q63" s="130"/>
      <c r="R63" s="130" t="s">
        <v>126</v>
      </c>
      <c r="S63" s="130"/>
      <c r="T63" s="130" t="s">
        <v>127</v>
      </c>
      <c r="U63" s="130"/>
      <c r="V63" s="130" t="s">
        <v>128</v>
      </c>
      <c r="W63" s="130"/>
      <c r="X63" s="130" t="s">
        <v>129</v>
      </c>
      <c r="Y63" s="130"/>
      <c r="Z63" s="131" t="s">
        <v>153</v>
      </c>
      <c r="AA63" s="100"/>
      <c r="AB63" s="132" t="s">
        <v>150</v>
      </c>
      <c r="AC63" s="128" t="s">
        <v>124</v>
      </c>
      <c r="AD63" s="128"/>
      <c r="AE63" s="128" t="s">
        <v>125</v>
      </c>
      <c r="AF63" s="128"/>
      <c r="AG63" s="128" t="s">
        <v>126</v>
      </c>
      <c r="AH63" s="128"/>
      <c r="AI63" s="128" t="s">
        <v>127</v>
      </c>
      <c r="AJ63" s="128"/>
      <c r="AK63" s="128" t="s">
        <v>128</v>
      </c>
      <c r="AL63" s="128"/>
      <c r="AM63" s="128" t="s">
        <v>129</v>
      </c>
      <c r="AN63" s="128"/>
      <c r="AO63" s="88"/>
      <c r="AP63" s="95"/>
      <c r="AQ63" s="129" t="s">
        <v>139</v>
      </c>
      <c r="AR63" s="129"/>
      <c r="AS63" s="129" t="s">
        <v>138</v>
      </c>
      <c r="AT63" s="129"/>
      <c r="AU63" s="129"/>
      <c r="AV63" s="129"/>
      <c r="AW63" s="129"/>
      <c r="AX63" s="129"/>
      <c r="AY63" s="129"/>
      <c r="AZ63" s="129"/>
      <c r="BA63" s="129"/>
      <c r="BB63" s="129"/>
      <c r="BC63" s="80"/>
      <c r="BD63" s="80" t="s">
        <v>142</v>
      </c>
      <c r="BE63" s="81" t="s">
        <v>143</v>
      </c>
      <c r="BF63" s="98"/>
      <c r="BG63" s="128" t="s">
        <v>139</v>
      </c>
      <c r="BH63" s="128"/>
      <c r="BI63" s="128" t="s">
        <v>138</v>
      </c>
      <c r="BJ63" s="128"/>
      <c r="BK63" s="128"/>
      <c r="BL63" s="128"/>
      <c r="BM63" s="128"/>
      <c r="BN63" s="128"/>
      <c r="BO63" s="128"/>
      <c r="BP63" s="128"/>
      <c r="BQ63" s="128"/>
      <c r="BR63" s="128"/>
      <c r="BS63" s="88"/>
    </row>
    <row r="64" spans="1:71" x14ac:dyDescent="0.25">
      <c r="B64" s="73"/>
      <c r="C64" s="73" t="s">
        <v>154</v>
      </c>
      <c r="D64" s="73" t="s">
        <v>155</v>
      </c>
      <c r="E64" s="73" t="s">
        <v>134</v>
      </c>
      <c r="F64" s="73" t="s">
        <v>146</v>
      </c>
      <c r="G64" s="73" t="s">
        <v>147</v>
      </c>
      <c r="H64" s="73" t="s">
        <v>148</v>
      </c>
      <c r="I64" s="73" t="s">
        <v>151</v>
      </c>
      <c r="J64" s="73" t="s">
        <v>152</v>
      </c>
      <c r="K64" s="73" t="s">
        <v>136</v>
      </c>
      <c r="L64" s="103"/>
      <c r="M64" s="131"/>
      <c r="N64" s="60" t="s">
        <v>130</v>
      </c>
      <c r="O64" s="60" t="s">
        <v>131</v>
      </c>
      <c r="P64" s="60" t="s">
        <v>130</v>
      </c>
      <c r="Q64" s="60" t="s">
        <v>131</v>
      </c>
      <c r="R64" s="60" t="s">
        <v>130</v>
      </c>
      <c r="S64" s="60" t="s">
        <v>131</v>
      </c>
      <c r="T64" s="60" t="s">
        <v>130</v>
      </c>
      <c r="U64" s="60" t="s">
        <v>131</v>
      </c>
      <c r="V64" s="60" t="s">
        <v>130</v>
      </c>
      <c r="W64" s="60" t="s">
        <v>131</v>
      </c>
      <c r="X64" s="60" t="s">
        <v>130</v>
      </c>
      <c r="Y64" s="60" t="s">
        <v>131</v>
      </c>
      <c r="Z64" s="131"/>
      <c r="AA64" s="100"/>
      <c r="AB64" s="132"/>
      <c r="AC64" s="88" t="s">
        <v>130</v>
      </c>
      <c r="AD64" s="88" t="s">
        <v>131</v>
      </c>
      <c r="AE64" s="88" t="s">
        <v>130</v>
      </c>
      <c r="AF64" s="88" t="s">
        <v>131</v>
      </c>
      <c r="AG64" s="88" t="s">
        <v>130</v>
      </c>
      <c r="AH64" s="88" t="s">
        <v>131</v>
      </c>
      <c r="AI64" s="88" t="s">
        <v>130</v>
      </c>
      <c r="AJ64" s="88" t="s">
        <v>131</v>
      </c>
      <c r="AK64" s="88" t="s">
        <v>130</v>
      </c>
      <c r="AL64" s="88" t="s">
        <v>131</v>
      </c>
      <c r="AM64" s="88" t="s">
        <v>130</v>
      </c>
      <c r="AN64" s="88" t="s">
        <v>131</v>
      </c>
      <c r="AO64" s="88" t="s">
        <v>153</v>
      </c>
      <c r="AP64" s="95"/>
      <c r="AQ64" s="71" t="s">
        <v>130</v>
      </c>
      <c r="AR64" s="71" t="s">
        <v>131</v>
      </c>
      <c r="AS64" s="65" t="s">
        <v>156</v>
      </c>
      <c r="AT64" s="65" t="s">
        <v>130</v>
      </c>
      <c r="AU64" s="65" t="s">
        <v>140</v>
      </c>
      <c r="AV64" s="65" t="s">
        <v>159</v>
      </c>
      <c r="AW64" s="65" t="s">
        <v>160</v>
      </c>
      <c r="AX64" s="65" t="s">
        <v>144</v>
      </c>
      <c r="AY64" s="65" t="s">
        <v>145</v>
      </c>
      <c r="AZ64" s="65" t="s">
        <v>157</v>
      </c>
      <c r="BA64" s="65" t="s">
        <v>151</v>
      </c>
      <c r="BB64" s="65" t="s">
        <v>141</v>
      </c>
      <c r="BC64" s="65" t="s">
        <v>158</v>
      </c>
      <c r="BD64" s="61">
        <v>3</v>
      </c>
      <c r="BE64" s="61">
        <v>2</v>
      </c>
      <c r="BF64" s="98"/>
      <c r="BG64" s="89" t="s">
        <v>130</v>
      </c>
      <c r="BH64" s="89" t="s">
        <v>131</v>
      </c>
      <c r="BI64" s="68" t="s">
        <v>156</v>
      </c>
      <c r="BJ64" s="68" t="s">
        <v>130</v>
      </c>
      <c r="BK64" s="68" t="s">
        <v>140</v>
      </c>
      <c r="BL64" s="68" t="s">
        <v>159</v>
      </c>
      <c r="BM64" s="68" t="s">
        <v>160</v>
      </c>
      <c r="BN64" s="68" t="s">
        <v>144</v>
      </c>
      <c r="BO64" s="68" t="s">
        <v>145</v>
      </c>
      <c r="BP64" s="68" t="s">
        <v>157</v>
      </c>
      <c r="BQ64" s="68" t="s">
        <v>151</v>
      </c>
      <c r="BR64" s="68" t="s">
        <v>141</v>
      </c>
      <c r="BS64" s="68" t="s">
        <v>158</v>
      </c>
    </row>
    <row r="65" spans="1:71" x14ac:dyDescent="0.25">
      <c r="A65">
        <v>1</v>
      </c>
      <c r="B65" s="73" t="s">
        <v>113</v>
      </c>
      <c r="C65" s="73">
        <v>77800</v>
      </c>
      <c r="D65" s="73">
        <v>500</v>
      </c>
      <c r="E65" s="74">
        <v>900</v>
      </c>
      <c r="F65" s="75">
        <v>3</v>
      </c>
      <c r="G65" s="75">
        <v>0.1</v>
      </c>
      <c r="H65" s="75">
        <v>0.35</v>
      </c>
      <c r="I65" s="75">
        <f t="shared" ref="I65:I70" si="170">C65*0.02</f>
        <v>1556</v>
      </c>
      <c r="J65" s="75">
        <v>150</v>
      </c>
      <c r="K65" s="74">
        <v>1500</v>
      </c>
      <c r="L65" s="104"/>
      <c r="M65" s="67">
        <v>9000</v>
      </c>
      <c r="N65" s="76">
        <v>2.5</v>
      </c>
      <c r="O65" s="77">
        <v>24500</v>
      </c>
      <c r="P65" s="76">
        <v>2.5</v>
      </c>
      <c r="Q65" s="77"/>
      <c r="R65" s="59">
        <v>3</v>
      </c>
      <c r="S65" s="78">
        <v>24500</v>
      </c>
      <c r="T65" s="59">
        <v>3</v>
      </c>
      <c r="U65" s="78">
        <v>12000</v>
      </c>
      <c r="V65" s="76"/>
      <c r="W65" s="78"/>
      <c r="X65" s="76"/>
      <c r="Y65" s="78"/>
      <c r="Z65" s="79">
        <v>4</v>
      </c>
      <c r="AA65" s="101"/>
      <c r="AB65" s="70">
        <v>10000</v>
      </c>
      <c r="AC65" s="62">
        <v>3</v>
      </c>
      <c r="AD65" s="94">
        <v>24500</v>
      </c>
      <c r="AE65" s="62"/>
      <c r="AF65" s="62"/>
      <c r="AG65" s="93"/>
      <c r="AH65" s="92"/>
      <c r="AI65" s="93"/>
      <c r="AJ65" s="92"/>
      <c r="AK65" s="93"/>
      <c r="AL65" s="92"/>
      <c r="AM65" s="93"/>
      <c r="AN65" s="92"/>
      <c r="AO65" s="68">
        <v>1</v>
      </c>
      <c r="AP65" s="96"/>
      <c r="AQ65" s="72">
        <f>N65+P65+R65+T65+V65+X65</f>
        <v>11</v>
      </c>
      <c r="AR65" s="72">
        <f>O65+Q65+S65+U65+W65+Y65</f>
        <v>61000</v>
      </c>
      <c r="AS65" s="65">
        <v>7</v>
      </c>
      <c r="AT65" s="66">
        <f>AQ65*AS65*4*12</f>
        <v>3696</v>
      </c>
      <c r="AU65" s="66">
        <f>AT65*M65</f>
        <v>33264000</v>
      </c>
      <c r="AV65" s="67">
        <f>AT65*K65</f>
        <v>5544000</v>
      </c>
      <c r="AW65" s="67">
        <f>Z65*J65*AS65*4*12</f>
        <v>201600</v>
      </c>
      <c r="AX65" s="66">
        <f>AT65*E65</f>
        <v>3326400</v>
      </c>
      <c r="AY65" s="67">
        <f>AX65*F65</f>
        <v>9979200</v>
      </c>
      <c r="AZ65" s="67">
        <f>AT65*D65*H65</f>
        <v>646800</v>
      </c>
      <c r="BA65" s="67">
        <f>Z65*I65*AS65*4*12</f>
        <v>2091264</v>
      </c>
      <c r="BB65" s="66">
        <f>AR65*AS65*4*12</f>
        <v>20496000</v>
      </c>
      <c r="BC65" s="67">
        <f>BB65*G65</f>
        <v>2049600</v>
      </c>
      <c r="BD65" s="82">
        <f>BB65*$BD$47</f>
        <v>61488000</v>
      </c>
      <c r="BE65" s="82">
        <f>BB65*$BE$47</f>
        <v>40992000</v>
      </c>
      <c r="BF65" s="98"/>
      <c r="BG65" s="58">
        <f>AC65+AE65+AG65+AI65+AK65+AM65</f>
        <v>3</v>
      </c>
      <c r="BH65" s="90">
        <f>AD65+AF65+AH65+AJ65+AL65+AN65</f>
        <v>24500</v>
      </c>
      <c r="BI65" s="68">
        <v>7</v>
      </c>
      <c r="BJ65" s="69">
        <f t="shared" ref="BJ65:BJ71" si="171">BG65*BI65*4*12</f>
        <v>1008</v>
      </c>
      <c r="BK65" s="69">
        <f>BJ65*AB65</f>
        <v>10080000</v>
      </c>
      <c r="BL65" s="70">
        <f>BJ65*K65</f>
        <v>1512000</v>
      </c>
      <c r="BM65" s="70">
        <f>BI65*AO65*4*12*J65</f>
        <v>50400</v>
      </c>
      <c r="BN65" s="69">
        <f>BJ65*E65</f>
        <v>907200</v>
      </c>
      <c r="BO65" s="70">
        <f>BN65*F65</f>
        <v>2721600</v>
      </c>
      <c r="BP65" s="70">
        <f>BJ65*D65*H65</f>
        <v>176400</v>
      </c>
      <c r="BQ65" s="70">
        <f>BI65*AO65*I65*4*12</f>
        <v>522816</v>
      </c>
      <c r="BR65" s="69">
        <f>BH65*BI65*4*12</f>
        <v>8232000</v>
      </c>
      <c r="BS65" s="70">
        <f>BR65*G65</f>
        <v>823200</v>
      </c>
    </row>
    <row r="66" spans="1:71" x14ac:dyDescent="0.25">
      <c r="A66">
        <v>1</v>
      </c>
      <c r="B66" s="73" t="s">
        <v>113</v>
      </c>
      <c r="C66" s="73">
        <v>77800</v>
      </c>
      <c r="D66" s="73">
        <v>500</v>
      </c>
      <c r="E66" s="74">
        <v>900</v>
      </c>
      <c r="F66" s="75">
        <v>3</v>
      </c>
      <c r="G66" s="75">
        <v>0.1</v>
      </c>
      <c r="H66" s="75">
        <v>0.35</v>
      </c>
      <c r="I66" s="75">
        <f t="shared" si="170"/>
        <v>1556</v>
      </c>
      <c r="J66" s="75">
        <v>150</v>
      </c>
      <c r="K66" s="74">
        <v>1500</v>
      </c>
      <c r="L66" s="104"/>
      <c r="M66" s="67">
        <v>9000</v>
      </c>
      <c r="N66" s="76">
        <v>2.5</v>
      </c>
      <c r="O66" s="77">
        <v>24500</v>
      </c>
      <c r="P66" s="77">
        <v>2.5</v>
      </c>
      <c r="Q66" s="77"/>
      <c r="R66" s="77">
        <v>3</v>
      </c>
      <c r="S66" s="77">
        <v>24500</v>
      </c>
      <c r="T66" s="59">
        <v>3</v>
      </c>
      <c r="U66" s="78">
        <v>12000</v>
      </c>
      <c r="V66" s="59"/>
      <c r="W66" s="59"/>
      <c r="X66" s="59"/>
      <c r="Y66" s="59"/>
      <c r="Z66" s="65">
        <v>4</v>
      </c>
      <c r="AA66" s="102"/>
      <c r="AB66" s="70">
        <v>10000</v>
      </c>
      <c r="AC66" s="62">
        <v>3</v>
      </c>
      <c r="AD66" s="94">
        <v>24500</v>
      </c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8">
        <v>1</v>
      </c>
      <c r="AP66" s="97"/>
      <c r="AQ66" s="72">
        <f t="shared" ref="AQ66:AQ71" si="172">N66+P66+R66+T66+V66+X66</f>
        <v>11</v>
      </c>
      <c r="AR66" s="72">
        <f>O66+Q66+S66+U66+W66+Y66</f>
        <v>61000</v>
      </c>
      <c r="AS66" s="65">
        <v>7</v>
      </c>
      <c r="AT66" s="66">
        <f t="shared" ref="AT66:AT71" si="173">AQ66*AS66*4*12</f>
        <v>3696</v>
      </c>
      <c r="AU66" s="66">
        <f t="shared" ref="AU66:AU71" si="174">AT66*M66</f>
        <v>33264000</v>
      </c>
      <c r="AV66" s="67">
        <f t="shared" ref="AV66:AV71" si="175">AT66*K66</f>
        <v>5544000</v>
      </c>
      <c r="AW66" s="67">
        <f t="shared" ref="AW66:AW71" si="176">Z66*J66*AS66*4*12</f>
        <v>201600</v>
      </c>
      <c r="AX66" s="66">
        <f t="shared" ref="AX66:AX71" si="177">AT66*E66</f>
        <v>3326400</v>
      </c>
      <c r="AY66" s="67">
        <f t="shared" ref="AY66:AY71" si="178">AX66*F66</f>
        <v>9979200</v>
      </c>
      <c r="AZ66" s="67">
        <f t="shared" ref="AZ66:AZ71" si="179">AT66*D66*H66</f>
        <v>646800</v>
      </c>
      <c r="BA66" s="67">
        <f t="shared" ref="BA66:BA71" si="180">Z66*I66*AS66*4*12</f>
        <v>2091264</v>
      </c>
      <c r="BB66" s="66">
        <f t="shared" ref="BB66:BB71" si="181">AR66*AS66*4*12</f>
        <v>20496000</v>
      </c>
      <c r="BC66" s="67">
        <f t="shared" ref="BC66:BC71" si="182">BB66*G66</f>
        <v>2049600</v>
      </c>
      <c r="BD66" s="82">
        <f t="shared" ref="BD66:BD71" si="183">BB66*$BD$47</f>
        <v>61488000</v>
      </c>
      <c r="BE66" s="82">
        <f t="shared" ref="BE66:BE71" si="184">BB66*$BE$47</f>
        <v>40992000</v>
      </c>
      <c r="BF66" s="98"/>
      <c r="BG66" s="58">
        <f t="shared" ref="BG66:BG71" si="185">AC66+AE66+AG66+AI66+AK66+AM66</f>
        <v>3</v>
      </c>
      <c r="BH66" s="90">
        <f>AD66+AF66+AH66+AJ66+AL66+AN66</f>
        <v>24500</v>
      </c>
      <c r="BI66" s="68">
        <v>7</v>
      </c>
      <c r="BJ66" s="69">
        <f t="shared" si="171"/>
        <v>1008</v>
      </c>
      <c r="BK66" s="69">
        <f>BJ66*AB66</f>
        <v>10080000</v>
      </c>
      <c r="BL66" s="70">
        <f>BJ66*K66</f>
        <v>1512000</v>
      </c>
      <c r="BM66" s="70">
        <f>BI66*AO66*4*12*J66</f>
        <v>50400</v>
      </c>
      <c r="BN66" s="69">
        <f t="shared" ref="BN66:BN71" si="186">BJ66*E66</f>
        <v>907200</v>
      </c>
      <c r="BO66" s="70">
        <f t="shared" ref="BO66:BO71" si="187">BN66*F66</f>
        <v>2721600</v>
      </c>
      <c r="BP66" s="70">
        <f t="shared" ref="BP66:BP71" si="188">BJ66*D66*H66</f>
        <v>176400</v>
      </c>
      <c r="BQ66" s="70">
        <f t="shared" ref="BQ66:BQ71" si="189">BI66*AO66*I66*4*12</f>
        <v>522816</v>
      </c>
      <c r="BR66" s="69">
        <f t="shared" ref="BR66:BR71" si="190">BH66*BI66*4*12</f>
        <v>8232000</v>
      </c>
      <c r="BS66" s="70">
        <f t="shared" ref="BS66:BS71" si="191">BR66*G66</f>
        <v>823200</v>
      </c>
    </row>
    <row r="67" spans="1:71" x14ac:dyDescent="0.25">
      <c r="A67">
        <v>2</v>
      </c>
      <c r="B67" s="73" t="s">
        <v>113</v>
      </c>
      <c r="C67" s="73">
        <v>77800</v>
      </c>
      <c r="D67" s="73">
        <v>500</v>
      </c>
      <c r="E67" s="74">
        <v>900</v>
      </c>
      <c r="F67" s="75">
        <v>3</v>
      </c>
      <c r="G67" s="75">
        <v>0.1</v>
      </c>
      <c r="H67" s="75">
        <v>0.35</v>
      </c>
      <c r="I67" s="75">
        <f t="shared" si="170"/>
        <v>1556</v>
      </c>
      <c r="J67" s="75">
        <v>150</v>
      </c>
      <c r="K67" s="74">
        <v>1500</v>
      </c>
      <c r="L67" s="104"/>
      <c r="M67" s="67">
        <v>9000</v>
      </c>
      <c r="N67" s="76">
        <v>2.5</v>
      </c>
      <c r="O67" s="77">
        <v>24500</v>
      </c>
      <c r="P67" s="77">
        <v>2.5</v>
      </c>
      <c r="Q67" s="77"/>
      <c r="R67" s="77">
        <v>3</v>
      </c>
      <c r="S67" s="77">
        <v>24500</v>
      </c>
      <c r="T67" s="59">
        <v>3</v>
      </c>
      <c r="U67" s="78">
        <v>12000</v>
      </c>
      <c r="V67" s="59"/>
      <c r="W67" s="59"/>
      <c r="X67" s="59"/>
      <c r="Y67" s="59"/>
      <c r="Z67" s="65">
        <v>4</v>
      </c>
      <c r="AA67" s="102"/>
      <c r="AB67" s="70">
        <v>10000</v>
      </c>
      <c r="AC67" s="62">
        <v>3</v>
      </c>
      <c r="AD67" s="94">
        <v>24500</v>
      </c>
      <c r="AE67" s="62"/>
      <c r="AF67" s="62"/>
      <c r="AG67" s="62"/>
      <c r="AH67" s="62"/>
      <c r="AI67" s="62"/>
      <c r="AJ67" s="62"/>
      <c r="AK67" s="62"/>
      <c r="AL67" s="62"/>
      <c r="AM67" s="62"/>
      <c r="AN67" s="62"/>
      <c r="AO67" s="68">
        <v>1</v>
      </c>
      <c r="AP67" s="97"/>
      <c r="AQ67" s="72">
        <f t="shared" si="172"/>
        <v>11</v>
      </c>
      <c r="AR67" s="72">
        <f t="shared" ref="AR67:AR71" si="192">O67+Q67+S67+U67+W67+Y67</f>
        <v>61000</v>
      </c>
      <c r="AS67" s="65">
        <v>6</v>
      </c>
      <c r="AT67" s="66">
        <f t="shared" si="173"/>
        <v>3168</v>
      </c>
      <c r="AU67" s="66">
        <f t="shared" si="174"/>
        <v>28512000</v>
      </c>
      <c r="AV67" s="67">
        <f t="shared" si="175"/>
        <v>4752000</v>
      </c>
      <c r="AW67" s="67">
        <f t="shared" si="176"/>
        <v>172800</v>
      </c>
      <c r="AX67" s="66">
        <f t="shared" si="177"/>
        <v>2851200</v>
      </c>
      <c r="AY67" s="67">
        <f t="shared" si="178"/>
        <v>8553600</v>
      </c>
      <c r="AZ67" s="67">
        <f t="shared" si="179"/>
        <v>554400</v>
      </c>
      <c r="BA67" s="67">
        <f t="shared" si="180"/>
        <v>1792512</v>
      </c>
      <c r="BB67" s="66">
        <f t="shared" si="181"/>
        <v>17568000</v>
      </c>
      <c r="BC67" s="67">
        <f t="shared" si="182"/>
        <v>1756800</v>
      </c>
      <c r="BD67" s="82">
        <f t="shared" si="183"/>
        <v>52704000</v>
      </c>
      <c r="BE67" s="82">
        <f t="shared" si="184"/>
        <v>35136000</v>
      </c>
      <c r="BF67" s="98"/>
      <c r="BG67" s="58">
        <f t="shared" si="185"/>
        <v>3</v>
      </c>
      <c r="BH67" s="90">
        <f t="shared" ref="BH67:BH71" si="193">AE67+AG67+AI67+AK67+AM67+AO67</f>
        <v>1</v>
      </c>
      <c r="BI67" s="68">
        <v>7</v>
      </c>
      <c r="BJ67" s="69">
        <f t="shared" si="171"/>
        <v>1008</v>
      </c>
      <c r="BK67" s="69">
        <f t="shared" ref="BK67:BK71" si="194">BJ67*AB67</f>
        <v>10080000</v>
      </c>
      <c r="BL67" s="70">
        <f t="shared" ref="BL67:BL71" si="195">BJ67*K67</f>
        <v>1512000</v>
      </c>
      <c r="BM67" s="70">
        <f t="shared" ref="BM67:BM71" si="196">BI67*AO67*4*12*J67</f>
        <v>50400</v>
      </c>
      <c r="BN67" s="69">
        <f t="shared" si="186"/>
        <v>907200</v>
      </c>
      <c r="BO67" s="70">
        <f t="shared" si="187"/>
        <v>2721600</v>
      </c>
      <c r="BP67" s="70">
        <f t="shared" si="188"/>
        <v>176400</v>
      </c>
      <c r="BQ67" s="70">
        <f t="shared" si="189"/>
        <v>522816</v>
      </c>
      <c r="BR67" s="69">
        <f t="shared" si="190"/>
        <v>336</v>
      </c>
      <c r="BS67" s="70">
        <f t="shared" si="191"/>
        <v>33.6</v>
      </c>
    </row>
    <row r="68" spans="1:71" x14ac:dyDescent="0.25">
      <c r="A68">
        <v>3</v>
      </c>
      <c r="B68" s="73" t="s">
        <v>113</v>
      </c>
      <c r="C68" s="73">
        <v>77800</v>
      </c>
      <c r="D68" s="73">
        <v>500</v>
      </c>
      <c r="E68" s="74">
        <v>900</v>
      </c>
      <c r="F68" s="75">
        <v>3</v>
      </c>
      <c r="G68" s="75">
        <v>0.1</v>
      </c>
      <c r="H68" s="75">
        <v>0.35</v>
      </c>
      <c r="I68" s="75">
        <f t="shared" si="170"/>
        <v>1556</v>
      </c>
      <c r="J68" s="75">
        <v>150</v>
      </c>
      <c r="K68" s="74">
        <v>1500</v>
      </c>
      <c r="L68" s="104"/>
      <c r="M68" s="67">
        <v>9000</v>
      </c>
      <c r="N68" s="76">
        <v>2.5</v>
      </c>
      <c r="O68" s="77">
        <v>24500</v>
      </c>
      <c r="P68" s="77">
        <v>2.5</v>
      </c>
      <c r="Q68" s="77"/>
      <c r="R68" s="77">
        <v>3</v>
      </c>
      <c r="S68" s="77">
        <v>24500</v>
      </c>
      <c r="T68" s="59">
        <v>3</v>
      </c>
      <c r="U68" s="78">
        <v>12000</v>
      </c>
      <c r="V68" s="59"/>
      <c r="W68" s="59"/>
      <c r="X68" s="59"/>
      <c r="Y68" s="59"/>
      <c r="Z68" s="65">
        <v>4</v>
      </c>
      <c r="AA68" s="102"/>
      <c r="AB68" s="70">
        <v>10000</v>
      </c>
      <c r="AC68" s="62">
        <v>3</v>
      </c>
      <c r="AD68" s="94">
        <v>24500</v>
      </c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8">
        <v>1</v>
      </c>
      <c r="AP68" s="97"/>
      <c r="AQ68" s="72">
        <f t="shared" si="172"/>
        <v>11</v>
      </c>
      <c r="AR68" s="72">
        <f t="shared" si="192"/>
        <v>61000</v>
      </c>
      <c r="AS68" s="65">
        <v>6</v>
      </c>
      <c r="AT68" s="66">
        <f t="shared" si="173"/>
        <v>3168</v>
      </c>
      <c r="AU68" s="66">
        <f t="shared" si="174"/>
        <v>28512000</v>
      </c>
      <c r="AV68" s="67">
        <f t="shared" si="175"/>
        <v>4752000</v>
      </c>
      <c r="AW68" s="67">
        <f t="shared" si="176"/>
        <v>172800</v>
      </c>
      <c r="AX68" s="66">
        <f t="shared" si="177"/>
        <v>2851200</v>
      </c>
      <c r="AY68" s="67">
        <f t="shared" si="178"/>
        <v>8553600</v>
      </c>
      <c r="AZ68" s="67">
        <f t="shared" si="179"/>
        <v>554400</v>
      </c>
      <c r="BA68" s="67">
        <f t="shared" si="180"/>
        <v>1792512</v>
      </c>
      <c r="BB68" s="66">
        <f t="shared" si="181"/>
        <v>17568000</v>
      </c>
      <c r="BC68" s="67">
        <f t="shared" si="182"/>
        <v>1756800</v>
      </c>
      <c r="BD68" s="82">
        <f t="shared" si="183"/>
        <v>52704000</v>
      </c>
      <c r="BE68" s="82">
        <f t="shared" si="184"/>
        <v>35136000</v>
      </c>
      <c r="BF68" s="98"/>
      <c r="BG68" s="58">
        <f t="shared" si="185"/>
        <v>3</v>
      </c>
      <c r="BH68" s="90">
        <f t="shared" si="193"/>
        <v>1</v>
      </c>
      <c r="BI68" s="68">
        <v>7</v>
      </c>
      <c r="BJ68" s="69">
        <f t="shared" si="171"/>
        <v>1008</v>
      </c>
      <c r="BK68" s="69">
        <f t="shared" si="194"/>
        <v>10080000</v>
      </c>
      <c r="BL68" s="70">
        <f t="shared" si="195"/>
        <v>1512000</v>
      </c>
      <c r="BM68" s="70">
        <f t="shared" si="196"/>
        <v>50400</v>
      </c>
      <c r="BN68" s="69">
        <f t="shared" si="186"/>
        <v>907200</v>
      </c>
      <c r="BO68" s="70">
        <f t="shared" si="187"/>
        <v>2721600</v>
      </c>
      <c r="BP68" s="70">
        <f t="shared" si="188"/>
        <v>176400</v>
      </c>
      <c r="BQ68" s="70">
        <f t="shared" si="189"/>
        <v>522816</v>
      </c>
      <c r="BR68" s="69">
        <f t="shared" si="190"/>
        <v>336</v>
      </c>
      <c r="BS68" s="70">
        <f t="shared" si="191"/>
        <v>33.6</v>
      </c>
    </row>
    <row r="69" spans="1:71" x14ac:dyDescent="0.25">
      <c r="A69">
        <v>4</v>
      </c>
      <c r="B69" s="73" t="s">
        <v>113</v>
      </c>
      <c r="C69" s="73">
        <v>77800</v>
      </c>
      <c r="D69" s="73">
        <v>500</v>
      </c>
      <c r="E69" s="74">
        <v>900</v>
      </c>
      <c r="F69" s="75">
        <v>3</v>
      </c>
      <c r="G69" s="75">
        <v>0.1</v>
      </c>
      <c r="H69" s="75">
        <v>0.35</v>
      </c>
      <c r="I69" s="75">
        <f t="shared" si="170"/>
        <v>1556</v>
      </c>
      <c r="J69" s="75">
        <v>150</v>
      </c>
      <c r="K69" s="74">
        <v>1500</v>
      </c>
      <c r="L69" s="104"/>
      <c r="M69" s="67">
        <v>9000</v>
      </c>
      <c r="N69" s="76">
        <v>2.5</v>
      </c>
      <c r="O69" s="77">
        <v>24500</v>
      </c>
      <c r="P69" s="77">
        <v>2.5</v>
      </c>
      <c r="Q69" s="77"/>
      <c r="R69" s="77">
        <v>3</v>
      </c>
      <c r="S69" s="77">
        <v>24500</v>
      </c>
      <c r="T69" s="59">
        <v>3</v>
      </c>
      <c r="U69" s="78">
        <v>12000</v>
      </c>
      <c r="V69" s="59"/>
      <c r="W69" s="59"/>
      <c r="X69" s="59"/>
      <c r="Y69" s="59"/>
      <c r="Z69" s="65">
        <v>4</v>
      </c>
      <c r="AA69" s="102"/>
      <c r="AB69" s="70">
        <v>10000</v>
      </c>
      <c r="AC69" s="62">
        <v>3</v>
      </c>
      <c r="AD69" s="94">
        <v>24500</v>
      </c>
      <c r="AE69" s="62"/>
      <c r="AF69" s="62"/>
      <c r="AG69" s="62"/>
      <c r="AH69" s="62"/>
      <c r="AI69" s="62"/>
      <c r="AJ69" s="62"/>
      <c r="AK69" s="62"/>
      <c r="AL69" s="62"/>
      <c r="AM69" s="62"/>
      <c r="AN69" s="62"/>
      <c r="AO69" s="68">
        <v>1</v>
      </c>
      <c r="AP69" s="97"/>
      <c r="AQ69" s="72">
        <f t="shared" si="172"/>
        <v>11</v>
      </c>
      <c r="AR69" s="72">
        <f t="shared" si="192"/>
        <v>61000</v>
      </c>
      <c r="AS69" s="65">
        <v>6</v>
      </c>
      <c r="AT69" s="66">
        <f t="shared" si="173"/>
        <v>3168</v>
      </c>
      <c r="AU69" s="66">
        <f t="shared" si="174"/>
        <v>28512000</v>
      </c>
      <c r="AV69" s="67">
        <f t="shared" si="175"/>
        <v>4752000</v>
      </c>
      <c r="AW69" s="67">
        <f t="shared" si="176"/>
        <v>172800</v>
      </c>
      <c r="AX69" s="66">
        <f t="shared" si="177"/>
        <v>2851200</v>
      </c>
      <c r="AY69" s="67">
        <f t="shared" si="178"/>
        <v>8553600</v>
      </c>
      <c r="AZ69" s="67">
        <f t="shared" si="179"/>
        <v>554400</v>
      </c>
      <c r="BA69" s="67">
        <f t="shared" si="180"/>
        <v>1792512</v>
      </c>
      <c r="BB69" s="66">
        <f t="shared" si="181"/>
        <v>17568000</v>
      </c>
      <c r="BC69" s="67">
        <f t="shared" si="182"/>
        <v>1756800</v>
      </c>
      <c r="BD69" s="82">
        <f t="shared" si="183"/>
        <v>52704000</v>
      </c>
      <c r="BE69" s="82">
        <f t="shared" si="184"/>
        <v>35136000</v>
      </c>
      <c r="BF69" s="98"/>
      <c r="BG69" s="58">
        <f t="shared" si="185"/>
        <v>3</v>
      </c>
      <c r="BH69" s="90">
        <f t="shared" si="193"/>
        <v>1</v>
      </c>
      <c r="BI69" s="68"/>
      <c r="BJ69" s="69">
        <f t="shared" si="171"/>
        <v>0</v>
      </c>
      <c r="BK69" s="69">
        <f t="shared" si="194"/>
        <v>0</v>
      </c>
      <c r="BL69" s="70">
        <f t="shared" si="195"/>
        <v>0</v>
      </c>
      <c r="BM69" s="70">
        <f t="shared" si="196"/>
        <v>0</v>
      </c>
      <c r="BN69" s="69">
        <f t="shared" si="186"/>
        <v>0</v>
      </c>
      <c r="BO69" s="70">
        <f t="shared" si="187"/>
        <v>0</v>
      </c>
      <c r="BP69" s="70">
        <f t="shared" si="188"/>
        <v>0</v>
      </c>
      <c r="BQ69" s="70">
        <f t="shared" si="189"/>
        <v>0</v>
      </c>
      <c r="BR69" s="69">
        <f t="shared" si="190"/>
        <v>0</v>
      </c>
      <c r="BS69" s="70">
        <f t="shared" si="191"/>
        <v>0</v>
      </c>
    </row>
    <row r="70" spans="1:71" x14ac:dyDescent="0.25">
      <c r="A70">
        <v>3</v>
      </c>
      <c r="B70" s="73" t="s">
        <v>114</v>
      </c>
      <c r="C70" s="73">
        <v>260800</v>
      </c>
      <c r="D70" s="73">
        <v>500</v>
      </c>
      <c r="E70" s="74">
        <v>1800</v>
      </c>
      <c r="F70" s="75">
        <v>3</v>
      </c>
      <c r="G70" s="75">
        <v>0.1</v>
      </c>
      <c r="H70" s="75">
        <v>0.35</v>
      </c>
      <c r="I70" s="75">
        <f t="shared" si="170"/>
        <v>5216</v>
      </c>
      <c r="J70" s="75">
        <v>350</v>
      </c>
      <c r="K70" s="74">
        <v>5500</v>
      </c>
      <c r="L70" s="104"/>
      <c r="M70" s="67">
        <v>18000</v>
      </c>
      <c r="N70" s="77">
        <v>13</v>
      </c>
      <c r="O70" s="77">
        <v>102000</v>
      </c>
      <c r="P70" s="77"/>
      <c r="Q70" s="77"/>
      <c r="R70" s="77"/>
      <c r="S70" s="77"/>
      <c r="T70" s="59"/>
      <c r="U70" s="78"/>
      <c r="V70" s="59"/>
      <c r="W70" s="59"/>
      <c r="X70" s="59"/>
      <c r="Y70" s="59"/>
      <c r="Z70" s="65">
        <v>1</v>
      </c>
      <c r="AA70" s="102"/>
      <c r="AB70" s="70">
        <v>20000</v>
      </c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8"/>
      <c r="AP70" s="97"/>
      <c r="AQ70" s="72">
        <f t="shared" si="172"/>
        <v>13</v>
      </c>
      <c r="AR70" s="72">
        <f t="shared" si="192"/>
        <v>102000</v>
      </c>
      <c r="AS70" s="65">
        <v>7</v>
      </c>
      <c r="AT70" s="66">
        <f t="shared" si="173"/>
        <v>4368</v>
      </c>
      <c r="AU70" s="66">
        <f t="shared" si="174"/>
        <v>78624000</v>
      </c>
      <c r="AV70" s="67">
        <f t="shared" si="175"/>
        <v>24024000</v>
      </c>
      <c r="AW70" s="67">
        <f t="shared" si="176"/>
        <v>117600</v>
      </c>
      <c r="AX70" s="66">
        <f t="shared" si="177"/>
        <v>7862400</v>
      </c>
      <c r="AY70" s="67">
        <f t="shared" si="178"/>
        <v>23587200</v>
      </c>
      <c r="AZ70" s="67">
        <f t="shared" si="179"/>
        <v>764400</v>
      </c>
      <c r="BA70" s="67">
        <f t="shared" si="180"/>
        <v>1752576</v>
      </c>
      <c r="BB70" s="66">
        <f t="shared" si="181"/>
        <v>34272000</v>
      </c>
      <c r="BC70" s="67">
        <f t="shared" si="182"/>
        <v>3427200</v>
      </c>
      <c r="BD70" s="82">
        <f t="shared" si="183"/>
        <v>102816000</v>
      </c>
      <c r="BE70" s="82">
        <f t="shared" si="184"/>
        <v>68544000</v>
      </c>
      <c r="BF70" s="98"/>
      <c r="BG70" s="58">
        <f t="shared" si="185"/>
        <v>0</v>
      </c>
      <c r="BH70" s="90">
        <f t="shared" si="193"/>
        <v>0</v>
      </c>
      <c r="BI70" s="68"/>
      <c r="BJ70" s="69">
        <f t="shared" si="171"/>
        <v>0</v>
      </c>
      <c r="BK70" s="69">
        <f t="shared" si="194"/>
        <v>0</v>
      </c>
      <c r="BL70" s="70">
        <f t="shared" si="195"/>
        <v>0</v>
      </c>
      <c r="BM70" s="70">
        <f t="shared" si="196"/>
        <v>0</v>
      </c>
      <c r="BN70" s="69">
        <f t="shared" si="186"/>
        <v>0</v>
      </c>
      <c r="BO70" s="70">
        <f t="shared" si="187"/>
        <v>0</v>
      </c>
      <c r="BP70" s="70">
        <f t="shared" si="188"/>
        <v>0</v>
      </c>
      <c r="BQ70" s="70">
        <f t="shared" si="189"/>
        <v>0</v>
      </c>
      <c r="BR70" s="69">
        <f t="shared" si="190"/>
        <v>0</v>
      </c>
      <c r="BS70" s="70">
        <f t="shared" si="191"/>
        <v>0</v>
      </c>
    </row>
    <row r="71" spans="1:71" x14ac:dyDescent="0.25">
      <c r="A71">
        <v>4</v>
      </c>
      <c r="B71" s="73" t="s">
        <v>114</v>
      </c>
      <c r="C71" s="73">
        <v>260800</v>
      </c>
      <c r="D71" s="73">
        <v>500</v>
      </c>
      <c r="E71" s="74">
        <v>1800</v>
      </c>
      <c r="F71" s="75">
        <v>3</v>
      </c>
      <c r="G71" s="75">
        <v>0.1</v>
      </c>
      <c r="H71" s="75">
        <v>0.35</v>
      </c>
      <c r="I71" s="75">
        <f>C71*0.02</f>
        <v>5216</v>
      </c>
      <c r="J71" s="75">
        <v>350</v>
      </c>
      <c r="K71" s="74">
        <v>5500</v>
      </c>
      <c r="L71" s="104"/>
      <c r="M71" s="67">
        <v>18000</v>
      </c>
      <c r="N71" s="77">
        <v>13</v>
      </c>
      <c r="O71" s="77">
        <v>102000</v>
      </c>
      <c r="P71" s="77"/>
      <c r="Q71" s="77"/>
      <c r="R71" s="77"/>
      <c r="S71" s="77"/>
      <c r="T71" s="59"/>
      <c r="U71" s="78"/>
      <c r="V71" s="59"/>
      <c r="W71" s="59"/>
      <c r="X71" s="59"/>
      <c r="Y71" s="59"/>
      <c r="Z71" s="65">
        <v>1</v>
      </c>
      <c r="AA71" s="102"/>
      <c r="AB71" s="70">
        <v>20000</v>
      </c>
      <c r="AC71" s="62">
        <v>13</v>
      </c>
      <c r="AD71" s="62">
        <v>102000</v>
      </c>
      <c r="AE71" s="62"/>
      <c r="AF71" s="62"/>
      <c r="AG71" s="62"/>
      <c r="AH71" s="62"/>
      <c r="AI71" s="62"/>
      <c r="AJ71" s="62"/>
      <c r="AK71" s="62"/>
      <c r="AL71" s="62"/>
      <c r="AM71" s="62"/>
      <c r="AN71" s="62"/>
      <c r="AO71" s="68">
        <v>1</v>
      </c>
      <c r="AP71" s="97"/>
      <c r="AQ71" s="72">
        <f t="shared" si="172"/>
        <v>13</v>
      </c>
      <c r="AR71" s="72">
        <f t="shared" si="192"/>
        <v>102000</v>
      </c>
      <c r="AS71" s="65">
        <v>3</v>
      </c>
      <c r="AT71" s="66">
        <f t="shared" si="173"/>
        <v>1872</v>
      </c>
      <c r="AU71" s="66">
        <f t="shared" si="174"/>
        <v>33696000</v>
      </c>
      <c r="AV71" s="67">
        <f t="shared" si="175"/>
        <v>10296000</v>
      </c>
      <c r="AW71" s="67">
        <f t="shared" si="176"/>
        <v>50400</v>
      </c>
      <c r="AX71" s="66">
        <f t="shared" si="177"/>
        <v>3369600</v>
      </c>
      <c r="AY71" s="67">
        <f t="shared" si="178"/>
        <v>10108800</v>
      </c>
      <c r="AZ71" s="67">
        <f t="shared" si="179"/>
        <v>327600</v>
      </c>
      <c r="BA71" s="67">
        <f t="shared" si="180"/>
        <v>751104</v>
      </c>
      <c r="BB71" s="66">
        <f t="shared" si="181"/>
        <v>14688000</v>
      </c>
      <c r="BC71" s="67">
        <f t="shared" si="182"/>
        <v>1468800</v>
      </c>
      <c r="BD71" s="82">
        <f t="shared" si="183"/>
        <v>44064000</v>
      </c>
      <c r="BE71" s="82">
        <f t="shared" si="184"/>
        <v>29376000</v>
      </c>
      <c r="BF71" s="98"/>
      <c r="BG71" s="58">
        <f t="shared" si="185"/>
        <v>13</v>
      </c>
      <c r="BH71" s="90">
        <f t="shared" si="193"/>
        <v>1</v>
      </c>
      <c r="BI71" s="68">
        <v>3</v>
      </c>
      <c r="BJ71" s="69">
        <f t="shared" si="171"/>
        <v>1872</v>
      </c>
      <c r="BK71" s="69">
        <f t="shared" si="194"/>
        <v>37440000</v>
      </c>
      <c r="BL71" s="70">
        <f t="shared" si="195"/>
        <v>10296000</v>
      </c>
      <c r="BM71" s="70">
        <f t="shared" si="196"/>
        <v>50400</v>
      </c>
      <c r="BN71" s="69">
        <f t="shared" si="186"/>
        <v>3369600</v>
      </c>
      <c r="BO71" s="70">
        <f t="shared" si="187"/>
        <v>10108800</v>
      </c>
      <c r="BP71" s="70">
        <f t="shared" si="188"/>
        <v>327600</v>
      </c>
      <c r="BQ71" s="70">
        <f t="shared" si="189"/>
        <v>751104</v>
      </c>
      <c r="BR71" s="69">
        <f t="shared" si="190"/>
        <v>144</v>
      </c>
      <c r="BS71" s="70">
        <f t="shared" si="191"/>
        <v>14.4</v>
      </c>
    </row>
    <row r="72" spans="1:71" x14ac:dyDescent="0.25">
      <c r="AA72" s="98"/>
      <c r="AP72" s="98"/>
      <c r="AQ72" s="82">
        <f>SUM(AQ65:AQ69)</f>
        <v>55</v>
      </c>
      <c r="AR72" s="61"/>
      <c r="AS72" s="60"/>
      <c r="AT72" s="82">
        <f t="shared" ref="AT72" si="197">SUM(AT65:AT71)</f>
        <v>23136</v>
      </c>
      <c r="AU72" s="82">
        <f>SUM(AU65:AU69)</f>
        <v>152064000</v>
      </c>
      <c r="AV72" s="83">
        <f t="shared" ref="AV72" si="198">SUM(AV65:AV71)</f>
        <v>59664000</v>
      </c>
      <c r="AW72" s="83">
        <f t="shared" ref="AW72" si="199">SUM(AW65:AW71)</f>
        <v>1089600</v>
      </c>
      <c r="AX72" s="84">
        <f t="shared" ref="AX72" si="200">SUM(AX65:AX71)</f>
        <v>26438400</v>
      </c>
      <c r="AY72" s="83">
        <f>SUM(AY65:AY71)</f>
        <v>79315200</v>
      </c>
      <c r="AZ72" s="83">
        <f t="shared" ref="AZ72" si="201">SUM(AZ65:AZ71)</f>
        <v>4048800</v>
      </c>
      <c r="BA72" s="83">
        <f t="shared" ref="BA72" si="202">SUM(BA65:BA71)</f>
        <v>12063744</v>
      </c>
      <c r="BB72" s="49">
        <f>SUM(BB65:BB69)</f>
        <v>93696000</v>
      </c>
      <c r="BC72" s="82">
        <f t="shared" ref="BC72" si="203">SUM(BC65:BC71)</f>
        <v>14265600</v>
      </c>
      <c r="BD72" s="82">
        <f>SUM(BD65:BD69)</f>
        <v>281088000</v>
      </c>
      <c r="BE72" s="66">
        <f>SUM(BE65:BE69)</f>
        <v>187392000</v>
      </c>
      <c r="BF72" s="98"/>
      <c r="BG72" s="85">
        <f>SUM(BG65:BG69)</f>
        <v>15</v>
      </c>
      <c r="BH72" s="63"/>
      <c r="BI72" s="64"/>
      <c r="BJ72" s="85">
        <f t="shared" ref="BJ72" si="204">SUM(BJ65:BJ71)</f>
        <v>5904</v>
      </c>
      <c r="BK72" s="108">
        <f t="shared" ref="BK72" si="205">SUM(BK65:BK71)</f>
        <v>77760000</v>
      </c>
      <c r="BL72" s="86">
        <f t="shared" ref="BL72" si="206">SUM(BL65:BL71)</f>
        <v>16344000</v>
      </c>
      <c r="BM72" s="86">
        <f t="shared" ref="BM72" si="207">SUM(BM65:BM71)</f>
        <v>252000</v>
      </c>
      <c r="BN72" s="91">
        <f t="shared" ref="BN72" si="208">SUM(BN65:BN71)</f>
        <v>6998400</v>
      </c>
      <c r="BO72" s="86">
        <f>SUM(BO65:BO71)</f>
        <v>20995200</v>
      </c>
      <c r="BP72" s="86">
        <f t="shared" ref="BP72" si="209">SUM(BP65:BP71)</f>
        <v>1033200</v>
      </c>
      <c r="BQ72" s="86">
        <f t="shared" ref="BQ72" si="210">SUM(BQ65:BQ71)</f>
        <v>2842368</v>
      </c>
      <c r="BR72" s="85">
        <f t="shared" ref="BR72" si="211">SUM(BR65:BR71)</f>
        <v>16464816</v>
      </c>
      <c r="BS72" s="85">
        <f>SUM(BS65:BS71)</f>
        <v>1646481.6</v>
      </c>
    </row>
    <row r="73" spans="1:71" x14ac:dyDescent="0.25">
      <c r="AQ73" s="82">
        <f>SUM(AQ70:AQ71)</f>
        <v>26</v>
      </c>
      <c r="AR73" s="61"/>
      <c r="AS73" s="60"/>
      <c r="AT73" s="61"/>
      <c r="AU73" s="82">
        <f>SUM(AU70:AU71)</f>
        <v>112320000</v>
      </c>
      <c r="AV73" s="61"/>
      <c r="AW73" s="61"/>
      <c r="AX73" s="61"/>
      <c r="AY73" s="61"/>
      <c r="AZ73" s="61"/>
      <c r="BA73" s="61"/>
      <c r="BB73" s="82">
        <f>SUM(BB70:BB71)</f>
        <v>48960000</v>
      </c>
      <c r="BC73" s="61"/>
      <c r="BD73" s="82">
        <f>SUM(BD70:BD71)</f>
        <v>146880000</v>
      </c>
      <c r="BE73" s="66">
        <f>SUM(BE70:BE71)</f>
        <v>97920000</v>
      </c>
      <c r="BF73" s="98"/>
      <c r="BG73" s="82">
        <f>SUM(BG70:BG71)</f>
        <v>13</v>
      </c>
      <c r="BJ73" s="49">
        <f>BJ72+AT72</f>
        <v>29040</v>
      </c>
      <c r="BK73" s="105" t="s">
        <v>162</v>
      </c>
      <c r="BL73" s="105">
        <f>BL72+AV72</f>
        <v>76008000</v>
      </c>
      <c r="BN73" s="106" t="s">
        <v>161</v>
      </c>
      <c r="BO73" s="107">
        <f>BO72+AY72</f>
        <v>100310400</v>
      </c>
      <c r="BP73" s="110" t="s">
        <v>163</v>
      </c>
      <c r="BQ73" s="111">
        <f>BQ72+BP72+BM72+BS72+BC72+BA72+AZ72+AW72</f>
        <v>37241793.600000001</v>
      </c>
    </row>
    <row r="74" spans="1:71" x14ac:dyDescent="0.25">
      <c r="AU74" s="109">
        <f>SUM(AU72:AU73)</f>
        <v>264384000</v>
      </c>
      <c r="BB74" s="82">
        <f>SUM(BB72:BB73)</f>
        <v>142656000</v>
      </c>
      <c r="BD74" s="82">
        <f>SUM(BD72:BD73)</f>
        <v>427968000</v>
      </c>
      <c r="BE74" s="66">
        <f>SUM(BE72:BE73)</f>
        <v>285312000</v>
      </c>
    </row>
    <row r="75" spans="1:71" x14ac:dyDescent="0.25">
      <c r="BD75" s="113">
        <f>AU72+BD72+BE72</f>
        <v>620544000</v>
      </c>
    </row>
    <row r="76" spans="1:71" x14ac:dyDescent="0.25">
      <c r="BD76" s="113">
        <f>AU73+BD73+BE73</f>
        <v>357120000</v>
      </c>
      <c r="BE76" s="87">
        <f>BD74+BE74+AU74</f>
        <v>977664000</v>
      </c>
    </row>
    <row r="85" spans="47:57" x14ac:dyDescent="0.25">
      <c r="AV85" t="s">
        <v>169</v>
      </c>
      <c r="AW85" t="s">
        <v>170</v>
      </c>
      <c r="AY85" t="s">
        <v>172</v>
      </c>
      <c r="AZ85" t="s">
        <v>171</v>
      </c>
    </row>
    <row r="86" spans="47:57" x14ac:dyDescent="0.25">
      <c r="AU86" t="s">
        <v>164</v>
      </c>
      <c r="AV86" s="49">
        <f>BB11</f>
        <v>24624000</v>
      </c>
      <c r="AY86">
        <f>BB86*BC86*BA86</f>
        <v>89425000</v>
      </c>
      <c r="AZ86">
        <f>BD86*BE86*BA86</f>
        <v>0</v>
      </c>
      <c r="BA86">
        <v>365</v>
      </c>
      <c r="BB86">
        <f>5*24500</f>
        <v>122500</v>
      </c>
      <c r="BC86">
        <v>2</v>
      </c>
      <c r="BD86">
        <v>102000</v>
      </c>
    </row>
    <row r="87" spans="47:57" x14ac:dyDescent="0.25">
      <c r="AU87" t="s">
        <v>165</v>
      </c>
      <c r="AV87" s="49">
        <f>BB25</f>
        <v>40992000</v>
      </c>
      <c r="AY87">
        <f t="shared" ref="AY87:AY90" si="212">BB87*BC87*BA87</f>
        <v>134137500</v>
      </c>
      <c r="AZ87">
        <f t="shared" ref="AZ87:AZ90" si="213">BD87*BE87*BA87</f>
        <v>0</v>
      </c>
      <c r="BA87">
        <v>365</v>
      </c>
      <c r="BB87">
        <f t="shared" ref="BB87:BB90" si="214">5*24500</f>
        <v>122500</v>
      </c>
      <c r="BC87">
        <v>3</v>
      </c>
      <c r="BD87">
        <v>102000</v>
      </c>
    </row>
    <row r="88" spans="47:57" x14ac:dyDescent="0.25">
      <c r="AU88" t="s">
        <v>166</v>
      </c>
      <c r="AV88" s="49">
        <f>BB40</f>
        <v>49776000</v>
      </c>
      <c r="AW88" s="49">
        <f>BB41</f>
        <v>24480000</v>
      </c>
      <c r="AY88">
        <f t="shared" si="212"/>
        <v>134137500</v>
      </c>
      <c r="AZ88">
        <f t="shared" si="213"/>
        <v>37230000</v>
      </c>
      <c r="BA88">
        <v>365</v>
      </c>
      <c r="BB88">
        <f t="shared" si="214"/>
        <v>122500</v>
      </c>
      <c r="BC88">
        <v>3</v>
      </c>
      <c r="BD88">
        <v>102000</v>
      </c>
      <c r="BE88">
        <v>1</v>
      </c>
    </row>
    <row r="89" spans="47:57" x14ac:dyDescent="0.25">
      <c r="AU89" t="s">
        <v>167</v>
      </c>
      <c r="AV89" s="49">
        <f>BB55</f>
        <v>70272000</v>
      </c>
      <c r="AW89" s="49">
        <f>BB56</f>
        <v>44064000</v>
      </c>
      <c r="AY89">
        <f t="shared" si="212"/>
        <v>178850000</v>
      </c>
      <c r="AZ89">
        <f t="shared" si="213"/>
        <v>74460000</v>
      </c>
      <c r="BA89">
        <v>365</v>
      </c>
      <c r="BB89">
        <f t="shared" si="214"/>
        <v>122500</v>
      </c>
      <c r="BC89">
        <v>4</v>
      </c>
      <c r="BD89">
        <v>102000</v>
      </c>
      <c r="BE89">
        <v>2</v>
      </c>
    </row>
    <row r="90" spans="47:57" x14ac:dyDescent="0.25">
      <c r="AU90" t="s">
        <v>168</v>
      </c>
      <c r="AV90" s="49">
        <f>BB72</f>
        <v>93696000</v>
      </c>
      <c r="AW90" s="49">
        <f>BB73</f>
        <v>48960000</v>
      </c>
      <c r="AY90">
        <f t="shared" si="212"/>
        <v>223562500</v>
      </c>
      <c r="AZ90">
        <f t="shared" si="213"/>
        <v>74460000</v>
      </c>
      <c r="BA90">
        <v>365</v>
      </c>
      <c r="BB90">
        <f t="shared" si="214"/>
        <v>122500</v>
      </c>
      <c r="BC90">
        <v>5</v>
      </c>
      <c r="BD90">
        <v>102000</v>
      </c>
      <c r="BE90">
        <v>2</v>
      </c>
    </row>
  </sheetData>
  <mergeCells count="115">
    <mergeCell ref="Z2:Z3"/>
    <mergeCell ref="M1:Y1"/>
    <mergeCell ref="M2:M3"/>
    <mergeCell ref="BG1:BS1"/>
    <mergeCell ref="BG2:BH2"/>
    <mergeCell ref="BI2:BR2"/>
    <mergeCell ref="AB1:AO1"/>
    <mergeCell ref="AS2:BB2"/>
    <mergeCell ref="AQ1:BE1"/>
    <mergeCell ref="AC2:AD2"/>
    <mergeCell ref="AE2:AF2"/>
    <mergeCell ref="AG2:AH2"/>
    <mergeCell ref="AI2:AJ2"/>
    <mergeCell ref="AK2:AL2"/>
    <mergeCell ref="AM2:AN2"/>
    <mergeCell ref="AQ2:AR2"/>
    <mergeCell ref="AB2:AB3"/>
    <mergeCell ref="N2:O2"/>
    <mergeCell ref="P2:Q2"/>
    <mergeCell ref="R2:S2"/>
    <mergeCell ref="T2:U2"/>
    <mergeCell ref="V2:W2"/>
    <mergeCell ref="X2:Y2"/>
    <mergeCell ref="M15:Y15"/>
    <mergeCell ref="AB15:AO15"/>
    <mergeCell ref="AQ15:BE15"/>
    <mergeCell ref="BG15:BS15"/>
    <mergeCell ref="M16:M17"/>
    <mergeCell ref="N16:O16"/>
    <mergeCell ref="P16:Q16"/>
    <mergeCell ref="R16:S16"/>
    <mergeCell ref="T16:U16"/>
    <mergeCell ref="V16:W16"/>
    <mergeCell ref="AK16:AL16"/>
    <mergeCell ref="AM16:AN16"/>
    <mergeCell ref="AQ16:AR16"/>
    <mergeCell ref="AS16:BB16"/>
    <mergeCell ref="BG16:BH16"/>
    <mergeCell ref="BI16:BR16"/>
    <mergeCell ref="X16:Y16"/>
    <mergeCell ref="Z16:Z17"/>
    <mergeCell ref="AC16:AD16"/>
    <mergeCell ref="AE16:AF16"/>
    <mergeCell ref="AG16:AH16"/>
    <mergeCell ref="AI16:AJ16"/>
    <mergeCell ref="AB16:AB17"/>
    <mergeCell ref="M30:Y30"/>
    <mergeCell ref="AB30:AO30"/>
    <mergeCell ref="AQ30:BE30"/>
    <mergeCell ref="BG30:BS30"/>
    <mergeCell ref="M31:M32"/>
    <mergeCell ref="N31:O31"/>
    <mergeCell ref="P31:Q31"/>
    <mergeCell ref="R31:S31"/>
    <mergeCell ref="T31:U31"/>
    <mergeCell ref="V31:W31"/>
    <mergeCell ref="BI31:BR31"/>
    <mergeCell ref="M45:Y45"/>
    <mergeCell ref="AB45:AO45"/>
    <mergeCell ref="AQ45:BE45"/>
    <mergeCell ref="BG45:BS45"/>
    <mergeCell ref="M46:M47"/>
    <mergeCell ref="N46:O46"/>
    <mergeCell ref="P46:Q46"/>
    <mergeCell ref="R46:S46"/>
    <mergeCell ref="T46:U46"/>
    <mergeCell ref="AI31:AJ31"/>
    <mergeCell ref="AK31:AL31"/>
    <mergeCell ref="AM31:AN31"/>
    <mergeCell ref="AQ31:AR31"/>
    <mergeCell ref="AS31:BB31"/>
    <mergeCell ref="BG31:BH31"/>
    <mergeCell ref="X31:Y31"/>
    <mergeCell ref="Z31:Z32"/>
    <mergeCell ref="AB31:AB32"/>
    <mergeCell ref="AC31:AD31"/>
    <mergeCell ref="AE31:AF31"/>
    <mergeCell ref="AG31:AH31"/>
    <mergeCell ref="M63:M64"/>
    <mergeCell ref="N63:O63"/>
    <mergeCell ref="P63:Q63"/>
    <mergeCell ref="R63:S63"/>
    <mergeCell ref="T63:U63"/>
    <mergeCell ref="V63:W63"/>
    <mergeCell ref="BG46:BH46"/>
    <mergeCell ref="BI46:BR46"/>
    <mergeCell ref="M62:Y62"/>
    <mergeCell ref="AB62:AO62"/>
    <mergeCell ref="AQ62:BE62"/>
    <mergeCell ref="BG62:BS62"/>
    <mergeCell ref="AG46:AH46"/>
    <mergeCell ref="AI46:AJ46"/>
    <mergeCell ref="AK46:AL46"/>
    <mergeCell ref="AM46:AN46"/>
    <mergeCell ref="AQ46:AR46"/>
    <mergeCell ref="AS46:BB46"/>
    <mergeCell ref="V46:W46"/>
    <mergeCell ref="X46:Y46"/>
    <mergeCell ref="Z46:Z47"/>
    <mergeCell ref="AB46:AB47"/>
    <mergeCell ref="AC46:AD46"/>
    <mergeCell ref="AE46:AF46"/>
    <mergeCell ref="BI63:BR63"/>
    <mergeCell ref="AI63:AJ63"/>
    <mergeCell ref="AK63:AL63"/>
    <mergeCell ref="AM63:AN63"/>
    <mergeCell ref="AQ63:AR63"/>
    <mergeCell ref="AS63:BB63"/>
    <mergeCell ref="BG63:BH63"/>
    <mergeCell ref="X63:Y63"/>
    <mergeCell ref="Z63:Z64"/>
    <mergeCell ref="AB63:AB64"/>
    <mergeCell ref="AC63:AD63"/>
    <mergeCell ref="AE63:AF63"/>
    <mergeCell ref="AG63:AH63"/>
  </mergeCells>
  <phoneticPr fontId="2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879BE-6E0E-41EE-AD8D-F9566AA0B556}">
  <sheetPr>
    <tabColor rgb="FFFF0000"/>
  </sheetPr>
  <dimension ref="A1:I35"/>
  <sheetViews>
    <sheetView showGridLines="0" workbookViewId="0">
      <selection activeCell="B12" sqref="B12"/>
    </sheetView>
  </sheetViews>
  <sheetFormatPr defaultRowHeight="15" x14ac:dyDescent="0.25"/>
  <cols>
    <col min="1" max="1" width="37.140625" bestFit="1" customWidth="1"/>
    <col min="2" max="3" width="20.7109375" bestFit="1" customWidth="1"/>
    <col min="4" max="5" width="21.5703125" bestFit="1" customWidth="1"/>
    <col min="6" max="6" width="22.5703125" bestFit="1" customWidth="1"/>
    <col min="9" max="9" width="15.28515625" bestFit="1" customWidth="1"/>
  </cols>
  <sheetData>
    <row r="1" spans="1:6" ht="15.75" x14ac:dyDescent="0.25">
      <c r="A1" s="133" t="s">
        <v>17</v>
      </c>
      <c r="B1" s="133"/>
      <c r="C1" s="133"/>
      <c r="D1" s="133"/>
      <c r="E1" s="133"/>
      <c r="F1" s="133"/>
    </row>
    <row r="2" spans="1:6" ht="15.75" x14ac:dyDescent="0.25">
      <c r="A2" s="6" t="s">
        <v>18</v>
      </c>
    </row>
    <row r="3" spans="1:6" ht="16.5" thickBot="1" x14ac:dyDescent="0.3">
      <c r="A3" s="7"/>
      <c r="B3" s="8" t="s">
        <v>19</v>
      </c>
      <c r="C3" s="8" t="s">
        <v>20</v>
      </c>
      <c r="D3" s="8" t="s">
        <v>21</v>
      </c>
      <c r="E3" s="8" t="s">
        <v>22</v>
      </c>
      <c r="F3" s="8" t="s">
        <v>23</v>
      </c>
    </row>
    <row r="4" spans="1:6" ht="15.75" x14ac:dyDescent="0.25">
      <c r="A4" s="9" t="s">
        <v>24</v>
      </c>
    </row>
    <row r="5" spans="1:6" x14ac:dyDescent="0.25">
      <c r="A5" t="s">
        <v>118</v>
      </c>
      <c r="B5" s="10">
        <f>ANALYSIS!BE12</f>
        <v>164592000</v>
      </c>
      <c r="C5" s="10">
        <f>ANALYSIS!BE26</f>
        <v>271488000</v>
      </c>
      <c r="D5" s="10">
        <f>ANALYSIS!BD43</f>
        <v>329664000</v>
      </c>
      <c r="E5" s="10">
        <f>ANALYSIS!BD58</f>
        <v>465408000</v>
      </c>
      <c r="F5" s="10">
        <f>ANALYSIS!BD75</f>
        <v>620544000</v>
      </c>
    </row>
    <row r="6" spans="1:6" x14ac:dyDescent="0.25">
      <c r="A6" t="s">
        <v>119</v>
      </c>
      <c r="B6" s="10"/>
      <c r="C6" s="10"/>
      <c r="D6" s="10">
        <f>ANALYSIS!BD44</f>
        <v>178560000</v>
      </c>
      <c r="E6" s="10">
        <f>ANALYSIS!BD59</f>
        <v>321408000</v>
      </c>
      <c r="F6" s="10">
        <f>ANALYSIS!BD76</f>
        <v>357120000</v>
      </c>
    </row>
    <row r="7" spans="1:6" x14ac:dyDescent="0.25">
      <c r="A7" t="s">
        <v>25</v>
      </c>
      <c r="B7" s="10"/>
      <c r="C7" s="10"/>
      <c r="D7" s="10"/>
      <c r="E7" s="10"/>
      <c r="F7" s="10"/>
    </row>
    <row r="8" spans="1:6" ht="15.75" thickBot="1" x14ac:dyDescent="0.3">
      <c r="A8" s="11"/>
      <c r="B8" s="12"/>
      <c r="C8" s="12"/>
      <c r="D8" s="12"/>
      <c r="E8" s="12"/>
      <c r="F8" s="12"/>
    </row>
    <row r="9" spans="1:6" ht="15.75" x14ac:dyDescent="0.25">
      <c r="A9" s="13" t="s">
        <v>26</v>
      </c>
      <c r="B9" s="14">
        <f>SUM(B5:B8)</f>
        <v>164592000</v>
      </c>
      <c r="C9" s="14">
        <f>SUM(C5:C8)</f>
        <v>271488000</v>
      </c>
      <c r="D9" s="14">
        <f>SUM(D5:D8)</f>
        <v>508224000</v>
      </c>
      <c r="E9" s="14">
        <f>SUM(E5:E8)</f>
        <v>786816000</v>
      </c>
      <c r="F9" s="14">
        <f>SUM(F5:F8)</f>
        <v>977664000</v>
      </c>
    </row>
    <row r="10" spans="1:6" ht="9" customHeight="1" x14ac:dyDescent="0.3">
      <c r="A10" s="15"/>
    </row>
    <row r="11" spans="1:6" ht="15.75" x14ac:dyDescent="0.25">
      <c r="A11" s="9" t="s">
        <v>27</v>
      </c>
    </row>
    <row r="12" spans="1:6" ht="15.75" x14ac:dyDescent="0.25">
      <c r="A12" s="16" t="s">
        <v>28</v>
      </c>
      <c r="B12" s="17">
        <f>ANALYSIS!AU11</f>
        <v>41472000</v>
      </c>
      <c r="C12" s="17">
        <f>ANALYSIS!AU25</f>
        <v>66528000</v>
      </c>
      <c r="D12" s="17">
        <f>ANALYSIS!AU42</f>
        <v>136944000</v>
      </c>
      <c r="E12" s="17">
        <f>ANALYSIS!AU57</f>
        <v>215136000</v>
      </c>
      <c r="F12" s="17">
        <f>ANALYSIS!AU74</f>
        <v>264384000</v>
      </c>
    </row>
    <row r="13" spans="1:6" ht="15.75" x14ac:dyDescent="0.25">
      <c r="A13" s="16" t="s">
        <v>29</v>
      </c>
      <c r="B13" s="17">
        <v>1200000</v>
      </c>
      <c r="C13" s="17">
        <v>1400000</v>
      </c>
      <c r="D13" s="17">
        <v>2200000</v>
      </c>
      <c r="E13" s="17">
        <v>3000000</v>
      </c>
      <c r="F13" s="17">
        <v>4000000</v>
      </c>
    </row>
    <row r="14" spans="1:6" ht="15.75" x14ac:dyDescent="0.25">
      <c r="A14" s="16" t="s">
        <v>107</v>
      </c>
      <c r="B14" s="17">
        <f>ANALYSIS!BD11</f>
        <v>73872000</v>
      </c>
      <c r="C14" s="17">
        <f>ANALYSIS!BD25</f>
        <v>122976000</v>
      </c>
      <c r="D14" s="17">
        <f>ANALYSIS!BD42</f>
        <v>222768000</v>
      </c>
      <c r="E14" s="17">
        <f>ANALYSIS!BD57</f>
        <v>343008000</v>
      </c>
      <c r="F14" s="17">
        <f>ANALYSIS!BD74</f>
        <v>427968000</v>
      </c>
    </row>
    <row r="15" spans="1:6" ht="16.5" thickBot="1" x14ac:dyDescent="0.3">
      <c r="A15" s="18" t="s">
        <v>30</v>
      </c>
      <c r="B15" s="19">
        <v>2200000</v>
      </c>
      <c r="C15" s="19">
        <v>2500000</v>
      </c>
      <c r="D15" s="19">
        <v>2750000</v>
      </c>
      <c r="E15" s="19">
        <v>3000000</v>
      </c>
      <c r="F15" s="19">
        <v>6000000</v>
      </c>
    </row>
    <row r="16" spans="1:6" ht="15.75" x14ac:dyDescent="0.25">
      <c r="A16" s="13" t="s">
        <v>31</v>
      </c>
      <c r="B16" s="20">
        <f>SUM(B12:B15)</f>
        <v>118744000</v>
      </c>
      <c r="C16" s="20">
        <f>SUM(C12:C15)</f>
        <v>193404000</v>
      </c>
      <c r="D16" s="20">
        <f>SUM(D12:D15)</f>
        <v>364662000</v>
      </c>
      <c r="E16" s="20">
        <f>SUM(E12:E15)</f>
        <v>564144000</v>
      </c>
      <c r="F16" s="20">
        <f>SUM(F12:F15)</f>
        <v>702352000</v>
      </c>
    </row>
    <row r="17" spans="1:9" ht="6.75" customHeight="1" x14ac:dyDescent="0.25">
      <c r="A17" s="16"/>
    </row>
    <row r="18" spans="1:9" ht="15.75" x14ac:dyDescent="0.25">
      <c r="A18" s="21" t="s">
        <v>32</v>
      </c>
      <c r="B18" s="22">
        <f>B9-B16</f>
        <v>45848000</v>
      </c>
      <c r="C18" s="22">
        <f>C9-C16</f>
        <v>78084000</v>
      </c>
      <c r="D18" s="22">
        <f>D9-D16</f>
        <v>143562000</v>
      </c>
      <c r="E18" s="22">
        <f>E9-E16</f>
        <v>222672000</v>
      </c>
      <c r="F18" s="22">
        <f>F9-F16</f>
        <v>275312000</v>
      </c>
      <c r="I18" s="17"/>
    </row>
    <row r="19" spans="1:9" x14ac:dyDescent="0.25">
      <c r="A19" s="23" t="s">
        <v>33</v>
      </c>
      <c r="B19" s="24">
        <f>B18/B9</f>
        <v>0.27855545834548462</v>
      </c>
      <c r="C19" s="24">
        <f>C18/C9</f>
        <v>0.28761492220650636</v>
      </c>
      <c r="D19" s="24">
        <f>D18/D9</f>
        <v>0.28247780506233472</v>
      </c>
      <c r="E19" s="24">
        <f>E18/E9</f>
        <v>0.28300390434358225</v>
      </c>
      <c r="F19" s="24">
        <f>F18/F9</f>
        <v>0.28160185912542551</v>
      </c>
    </row>
    <row r="20" spans="1:9" ht="15.75" x14ac:dyDescent="0.25">
      <c r="A20" s="9" t="s">
        <v>34</v>
      </c>
    </row>
    <row r="21" spans="1:9" ht="15.75" x14ac:dyDescent="0.25">
      <c r="A21" s="9" t="s">
        <v>35</v>
      </c>
      <c r="B21" s="17">
        <v>1800000</v>
      </c>
      <c r="C21" s="17">
        <v>2000000</v>
      </c>
      <c r="D21" s="17">
        <v>2800000</v>
      </c>
      <c r="E21" s="17">
        <v>3500000</v>
      </c>
      <c r="F21" s="17">
        <v>4000000</v>
      </c>
      <c r="I21" s="17"/>
    </row>
    <row r="22" spans="1:9" ht="15.75" thickBot="1" x14ac:dyDescent="0.3">
      <c r="A22" s="25" t="s">
        <v>36</v>
      </c>
      <c r="B22" s="26">
        <v>2500000</v>
      </c>
      <c r="C22" s="26">
        <v>2750000</v>
      </c>
      <c r="D22" s="26">
        <v>4250000</v>
      </c>
      <c r="E22" s="26">
        <v>4750000</v>
      </c>
      <c r="F22" s="26">
        <v>5250000</v>
      </c>
    </row>
    <row r="23" spans="1:9" ht="15.75" x14ac:dyDescent="0.25">
      <c r="A23" s="13" t="s">
        <v>37</v>
      </c>
      <c r="B23" s="20">
        <f>SUM(B21:B22)</f>
        <v>4300000</v>
      </c>
      <c r="C23" s="20">
        <f>SUM(C21:C22)</f>
        <v>4750000</v>
      </c>
      <c r="D23" s="20">
        <f>SUM(D21:D22)</f>
        <v>7050000</v>
      </c>
      <c r="E23" s="20">
        <f>SUM(E21:E22)</f>
        <v>8250000</v>
      </c>
      <c r="F23" s="20">
        <f>SUM(F21:F22)</f>
        <v>9250000</v>
      </c>
    </row>
    <row r="24" spans="1:9" ht="16.5" thickBot="1" x14ac:dyDescent="0.3">
      <c r="A24" s="27"/>
      <c r="B24" s="27"/>
      <c r="C24" s="27"/>
      <c r="D24" s="27"/>
      <c r="E24" s="27"/>
      <c r="F24" s="27"/>
    </row>
    <row r="25" spans="1:9" ht="15.75" x14ac:dyDescent="0.25">
      <c r="A25" s="28" t="s">
        <v>38</v>
      </c>
      <c r="B25" s="29">
        <f>B18-B23</f>
        <v>41548000</v>
      </c>
      <c r="C25" s="29">
        <f>C18-C23</f>
        <v>73334000</v>
      </c>
      <c r="D25" s="29">
        <f>D18-D23</f>
        <v>136512000</v>
      </c>
      <c r="E25" s="29">
        <f>E18-E23</f>
        <v>214422000</v>
      </c>
      <c r="F25" s="29">
        <f>F18-F23</f>
        <v>266062000</v>
      </c>
    </row>
    <row r="26" spans="1:9" x14ac:dyDescent="0.25">
      <c r="A26" s="23" t="s">
        <v>39</v>
      </c>
      <c r="B26" s="24">
        <f>B25/B9</f>
        <v>0.25243025177408379</v>
      </c>
      <c r="C26" s="24">
        <f>C25/C9</f>
        <v>0.27011875294672322</v>
      </c>
      <c r="D26" s="24">
        <f>D25/D9</f>
        <v>0.26860596902153383</v>
      </c>
      <c r="E26" s="24">
        <f>E25/E9</f>
        <v>0.27251860663738409</v>
      </c>
      <c r="F26" s="24">
        <f>F25/F9</f>
        <v>0.27214053089814089</v>
      </c>
    </row>
    <row r="27" spans="1:9" ht="15.75" x14ac:dyDescent="0.25">
      <c r="A27" s="9" t="s">
        <v>40</v>
      </c>
      <c r="B27" s="30">
        <f>'loan 1 FRESH24'!E18*-1</f>
        <v>2574728.0828031488</v>
      </c>
      <c r="C27" s="30">
        <f>'loan 1 FRESH24'!E30*-1</f>
        <v>2420901.3753348682</v>
      </c>
      <c r="D27" s="30">
        <f>'loan 1 FRESH24'!E42*-1</f>
        <v>2247565.5910568209</v>
      </c>
      <c r="E27" s="30">
        <f>'loan 1 FRESH24'!E54*-1</f>
        <v>2052246.490714761</v>
      </c>
      <c r="F27" s="30">
        <f>'loan 1 FRESH24'!E66*-1</f>
        <v>1832156.0395864709</v>
      </c>
    </row>
    <row r="28" spans="1:9" x14ac:dyDescent="0.25">
      <c r="A28" s="31" t="s">
        <v>41</v>
      </c>
      <c r="B28" s="32">
        <v>450000</v>
      </c>
      <c r="C28" s="32">
        <v>475000</v>
      </c>
      <c r="D28" s="32">
        <v>650000</v>
      </c>
      <c r="E28" s="32">
        <v>850000</v>
      </c>
      <c r="F28" s="32">
        <v>1000000</v>
      </c>
    </row>
    <row r="29" spans="1:9" ht="15.75" thickBot="1" x14ac:dyDescent="0.3">
      <c r="A29" s="25" t="s">
        <v>42</v>
      </c>
      <c r="B29" s="33">
        <f>B25*variables!$C$8</f>
        <v>10387000</v>
      </c>
      <c r="C29" s="33">
        <f>C25*variables!$C$8</f>
        <v>18333500</v>
      </c>
      <c r="D29" s="33">
        <f>D25*variables!$C$8</f>
        <v>34128000</v>
      </c>
      <c r="E29" s="33">
        <f>E25*variables!$C$8</f>
        <v>53605500</v>
      </c>
      <c r="F29" s="33">
        <f>F25*variables!$C$8</f>
        <v>66515500</v>
      </c>
    </row>
    <row r="30" spans="1:9" ht="15.75" x14ac:dyDescent="0.25">
      <c r="A30" s="34" t="s">
        <v>43</v>
      </c>
      <c r="B30" s="35">
        <f>B25-B29-B28-B27</f>
        <v>28136271.917196851</v>
      </c>
      <c r="C30" s="35">
        <f t="shared" ref="C30:F30" si="0">C25-C29-C28-C27</f>
        <v>52104598.624665134</v>
      </c>
      <c r="D30" s="35">
        <f t="shared" si="0"/>
        <v>99486434.408943176</v>
      </c>
      <c r="E30" s="35">
        <f t="shared" si="0"/>
        <v>157914253.50928524</v>
      </c>
      <c r="F30" s="35">
        <f t="shared" si="0"/>
        <v>196714343.96041352</v>
      </c>
    </row>
    <row r="31" spans="1:9" x14ac:dyDescent="0.25">
      <c r="A31" s="36" t="s">
        <v>44</v>
      </c>
      <c r="B31" s="37">
        <f>B30/B9</f>
        <v>0.17094556185717927</v>
      </c>
      <c r="C31" s="37">
        <f>C30/C9</f>
        <v>0.19192228984214821</v>
      </c>
      <c r="D31" s="37">
        <f>D30/D9</f>
        <v>0.19575312147585155</v>
      </c>
      <c r="E31" s="37">
        <f>E30/E9</f>
        <v>0.20070035879962436</v>
      </c>
      <c r="F31" s="37">
        <f>F30/F9</f>
        <v>0.20120853786210141</v>
      </c>
    </row>
    <row r="32" spans="1:9" x14ac:dyDescent="0.25">
      <c r="B32" s="38"/>
      <c r="C32" s="38"/>
    </row>
    <row r="35" spans="2:2" x14ac:dyDescent="0.25">
      <c r="B35" s="17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6D5C2-A2A4-4D90-9893-15996FF67CF4}">
  <sheetPr>
    <tabColor rgb="FFFF0000"/>
  </sheetPr>
  <dimension ref="A1:F44"/>
  <sheetViews>
    <sheetView showGridLines="0" topLeftCell="A8" workbookViewId="0">
      <selection activeCell="I23" sqref="I23"/>
    </sheetView>
  </sheetViews>
  <sheetFormatPr defaultRowHeight="15" x14ac:dyDescent="0.25"/>
  <cols>
    <col min="1" max="1" width="38.28515625" bestFit="1" customWidth="1"/>
    <col min="2" max="6" width="16.42578125" customWidth="1"/>
  </cols>
  <sheetData>
    <row r="1" spans="1:6" x14ac:dyDescent="0.25">
      <c r="A1" s="134" t="s">
        <v>45</v>
      </c>
      <c r="B1" s="134"/>
      <c r="C1" s="134"/>
      <c r="D1" s="134"/>
      <c r="E1" s="134"/>
      <c r="F1" s="134"/>
    </row>
    <row r="2" spans="1:6" x14ac:dyDescent="0.25">
      <c r="A2" s="40"/>
      <c r="B2" s="41" t="s">
        <v>19</v>
      </c>
      <c r="C2" s="41" t="s">
        <v>20</v>
      </c>
      <c r="D2" s="41" t="s">
        <v>21</v>
      </c>
      <c r="E2" s="41" t="s">
        <v>22</v>
      </c>
      <c r="F2" s="41" t="s">
        <v>23</v>
      </c>
    </row>
    <row r="3" spans="1:6" ht="15.75" x14ac:dyDescent="0.25">
      <c r="A3" s="114" t="s">
        <v>46</v>
      </c>
      <c r="C3" s="17">
        <f>B44</f>
        <v>29873366.962171692</v>
      </c>
      <c r="D3" s="17">
        <f>C44</f>
        <v>77586233.924343392</v>
      </c>
      <c r="E3" s="17">
        <f>D44</f>
        <v>175475102.74222976</v>
      </c>
      <c r="F3" s="17">
        <f>E44</f>
        <v>327687109.76080024</v>
      </c>
    </row>
    <row r="4" spans="1:6" ht="5.25" customHeight="1" x14ac:dyDescent="0.25"/>
    <row r="5" spans="1:6" ht="15.75" x14ac:dyDescent="0.25">
      <c r="A5" s="115" t="s">
        <v>47</v>
      </c>
      <c r="B5" s="116"/>
      <c r="C5" s="116"/>
      <c r="D5" s="116"/>
      <c r="E5" s="116"/>
      <c r="F5" s="116"/>
    </row>
    <row r="6" spans="1:6" ht="4.5" customHeight="1" x14ac:dyDescent="0.25"/>
    <row r="7" spans="1:6" x14ac:dyDescent="0.25">
      <c r="A7" t="s">
        <v>48</v>
      </c>
      <c r="B7" s="17">
        <f>'Income FRESH24'!B30</f>
        <v>28136271.917196851</v>
      </c>
      <c r="C7" s="17">
        <f>'Income FRESH24'!C30</f>
        <v>52104598.624665134</v>
      </c>
      <c r="D7" s="17">
        <f>'Income FRESH24'!D30</f>
        <v>99486434.408943176</v>
      </c>
      <c r="E7" s="17">
        <f>'Income FRESH24'!E30</f>
        <v>157914253.50928524</v>
      </c>
      <c r="F7" s="17">
        <f>'Income FRESH24'!F30</f>
        <v>196714343.96041352</v>
      </c>
    </row>
    <row r="8" spans="1:6" ht="6.75" customHeight="1" x14ac:dyDescent="0.25">
      <c r="B8" s="17"/>
    </row>
    <row r="9" spans="1:6" x14ac:dyDescent="0.25">
      <c r="A9" t="s">
        <v>49</v>
      </c>
    </row>
    <row r="10" spans="1:6" ht="8.25" customHeight="1" x14ac:dyDescent="0.25"/>
    <row r="11" spans="1:6" x14ac:dyDescent="0.25">
      <c r="A11" t="s">
        <v>50</v>
      </c>
      <c r="B11" s="17">
        <f>'Income FRESH24'!B28</f>
        <v>450000</v>
      </c>
      <c r="C11" s="17">
        <f>'Income FRESH24'!C28</f>
        <v>475000</v>
      </c>
      <c r="D11" s="17">
        <f>'Income FRESH24'!D28</f>
        <v>650000</v>
      </c>
      <c r="E11" s="17">
        <f>'Income FRESH24'!E28</f>
        <v>850000</v>
      </c>
      <c r="F11" s="17">
        <f>'Income FRESH24'!F28</f>
        <v>1000000</v>
      </c>
    </row>
    <row r="12" spans="1:6" x14ac:dyDescent="0.25">
      <c r="A12" t="s">
        <v>51</v>
      </c>
    </row>
    <row r="13" spans="1:6" x14ac:dyDescent="0.25">
      <c r="A13" t="s">
        <v>52</v>
      </c>
    </row>
    <row r="14" spans="1:6" ht="6.75" customHeight="1" x14ac:dyDescent="0.25"/>
    <row r="15" spans="1:6" x14ac:dyDescent="0.25">
      <c r="A15" s="117" t="s">
        <v>53</v>
      </c>
    </row>
    <row r="16" spans="1:6" ht="6" customHeight="1" x14ac:dyDescent="0.25"/>
    <row r="17" spans="1:6" x14ac:dyDescent="0.25">
      <c r="A17" t="s">
        <v>54</v>
      </c>
    </row>
    <row r="18" spans="1:6" x14ac:dyDescent="0.25">
      <c r="A18" t="s">
        <v>55</v>
      </c>
    </row>
    <row r="19" spans="1:6" x14ac:dyDescent="0.25">
      <c r="A19" t="s">
        <v>56</v>
      </c>
    </row>
    <row r="20" spans="1:6" x14ac:dyDescent="0.25">
      <c r="A20" t="s">
        <v>57</v>
      </c>
    </row>
    <row r="21" spans="1:6" x14ac:dyDescent="0.25">
      <c r="A21" t="s">
        <v>58</v>
      </c>
    </row>
    <row r="22" spans="1:6" x14ac:dyDescent="0.25">
      <c r="A22" t="s">
        <v>59</v>
      </c>
    </row>
    <row r="23" spans="1:6" x14ac:dyDescent="0.25">
      <c r="A23" t="s">
        <v>60</v>
      </c>
    </row>
    <row r="24" spans="1:6" x14ac:dyDescent="0.25">
      <c r="A24" t="s">
        <v>61</v>
      </c>
    </row>
    <row r="25" spans="1:6" ht="4.5" customHeight="1" x14ac:dyDescent="0.25"/>
    <row r="26" spans="1:6" ht="15.75" x14ac:dyDescent="0.25">
      <c r="A26" s="115" t="s">
        <v>62</v>
      </c>
      <c r="B26" s="118">
        <f>B7+B11+B12+B13-B17+B18-B19+B20+B21-B22-B23+B24</f>
        <v>28586271.917196851</v>
      </c>
      <c r="C26" s="118">
        <f>C3+C7+C11+C12+C13-C17+C18-C19+C20+C21-C22-C23+C24</f>
        <v>82452965.58683683</v>
      </c>
      <c r="D26" s="118">
        <f>D3+D7+D11+D12+D13-D17+D18-D19+D20+D21-D22-D23+D24</f>
        <v>177722668.33328658</v>
      </c>
      <c r="E26" s="118">
        <f>E3+E7+E11+E12+E13-E17+E18-E19+E20+E21-E22-E23+E24</f>
        <v>334239356.25151503</v>
      </c>
      <c r="F26" s="118">
        <f>F3+F7+F11+F12+F13-F17+F18-F19+F20+F21-F22-F23+F24</f>
        <v>525401453.72121376</v>
      </c>
    </row>
    <row r="28" spans="1:6" ht="15.75" x14ac:dyDescent="0.25">
      <c r="A28" s="119" t="s">
        <v>63</v>
      </c>
      <c r="B28" s="120"/>
      <c r="C28" s="120"/>
      <c r="D28" s="120"/>
      <c r="E28" s="120"/>
      <c r="F28" s="120"/>
    </row>
    <row r="29" spans="1:6" ht="4.5" customHeight="1" x14ac:dyDescent="0.25"/>
    <row r="30" spans="1:6" x14ac:dyDescent="0.25">
      <c r="A30" t="s">
        <v>64</v>
      </c>
      <c r="B30" s="17">
        <v>-19500000</v>
      </c>
      <c r="C30" s="17">
        <v>-3500000</v>
      </c>
      <c r="D30" s="17"/>
      <c r="E30" s="51">
        <v>-4500000</v>
      </c>
      <c r="F30" s="51"/>
    </row>
    <row r="32" spans="1:6" ht="15.75" x14ac:dyDescent="0.25">
      <c r="A32" s="119" t="s">
        <v>65</v>
      </c>
      <c r="B32" s="121">
        <f>B30</f>
        <v>-19500000</v>
      </c>
      <c r="C32" s="121">
        <f>C30</f>
        <v>-3500000</v>
      </c>
      <c r="D32" s="121">
        <f>D30</f>
        <v>0</v>
      </c>
      <c r="E32" s="121">
        <f>E30</f>
        <v>-4500000</v>
      </c>
      <c r="F32" s="121">
        <f>F30</f>
        <v>0</v>
      </c>
    </row>
    <row r="34" spans="1:6" ht="15.75" x14ac:dyDescent="0.25">
      <c r="A34" s="122" t="s">
        <v>66</v>
      </c>
      <c r="B34" s="46"/>
      <c r="C34" s="46"/>
      <c r="D34" s="46"/>
      <c r="E34" s="46"/>
      <c r="F34" s="46"/>
    </row>
    <row r="35" spans="1:6" ht="4.5" customHeight="1" x14ac:dyDescent="0.25">
      <c r="A35" s="114"/>
    </row>
    <row r="36" spans="1:6" x14ac:dyDescent="0.25">
      <c r="A36" t="s">
        <v>67</v>
      </c>
      <c r="B36" s="17">
        <v>22000000</v>
      </c>
      <c r="C36" s="17"/>
      <c r="D36" s="17"/>
    </row>
    <row r="37" spans="1:6" x14ac:dyDescent="0.25">
      <c r="A37" t="s">
        <v>68</v>
      </c>
      <c r="B37" s="123">
        <f>'loan 1 FRESH24'!F18*-1</f>
        <v>-1212904.9550251572</v>
      </c>
      <c r="C37" s="123">
        <f>'loan 1 FRESH24'!F30*-1</f>
        <v>-1366731.6624934382</v>
      </c>
      <c r="D37" s="123">
        <f>'loan 1 FRESH24'!E42</f>
        <v>-2247565.5910568209</v>
      </c>
      <c r="E37" s="123">
        <f>'loan 1 FRESH24'!E54</f>
        <v>-2052246.490714761</v>
      </c>
      <c r="F37" s="123">
        <f>'loan 1 FRESH24'!E66</f>
        <v>-1832156.0395864709</v>
      </c>
    </row>
    <row r="38" spans="1:6" x14ac:dyDescent="0.25">
      <c r="A38" t="s">
        <v>69</v>
      </c>
      <c r="B38" s="17"/>
      <c r="C38" s="17"/>
      <c r="D38" s="17"/>
    </row>
    <row r="39" spans="1:6" x14ac:dyDescent="0.25">
      <c r="A39" t="s">
        <v>70</v>
      </c>
    </row>
    <row r="40" spans="1:6" x14ac:dyDescent="0.25">
      <c r="A40" t="s">
        <v>71</v>
      </c>
    </row>
    <row r="41" spans="1:6" ht="4.5" customHeight="1" x14ac:dyDescent="0.25"/>
    <row r="42" spans="1:6" x14ac:dyDescent="0.25">
      <c r="A42" s="124" t="s">
        <v>72</v>
      </c>
      <c r="B42" s="125">
        <f>SUM(B36:B41)</f>
        <v>20787095.044974841</v>
      </c>
      <c r="C42" s="125">
        <f>SUM(C36:C41)</f>
        <v>-1366731.6624934382</v>
      </c>
      <c r="D42" s="125">
        <f>SUM(D36:D41)</f>
        <v>-2247565.5910568209</v>
      </c>
      <c r="E42" s="125">
        <f>SUM(E36:E41)</f>
        <v>-2052246.490714761</v>
      </c>
      <c r="F42" s="125">
        <f>SUM(F36:F41)</f>
        <v>-1832156.0395864709</v>
      </c>
    </row>
    <row r="44" spans="1:6" ht="15.75" x14ac:dyDescent="0.25">
      <c r="A44" s="126" t="s">
        <v>73</v>
      </c>
      <c r="B44" s="127">
        <f>B26+B32+B42</f>
        <v>29873366.962171692</v>
      </c>
      <c r="C44" s="127">
        <f>C26+C32+C42</f>
        <v>77586233.924343392</v>
      </c>
      <c r="D44" s="127">
        <f>D26+D32+D42</f>
        <v>175475102.74222976</v>
      </c>
      <c r="E44" s="127">
        <f>E26+E32+E42</f>
        <v>327687109.76080024</v>
      </c>
      <c r="F44" s="127">
        <f>F26+F32+F42</f>
        <v>523569297.68162727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22132-3509-42BE-B0AB-CBFD837BA592}">
  <sheetPr>
    <tabColor rgb="FFFF0000"/>
  </sheetPr>
  <dimension ref="A1:G67"/>
  <sheetViews>
    <sheetView workbookViewId="0">
      <selection activeCell="G14" sqref="G14"/>
    </sheetView>
  </sheetViews>
  <sheetFormatPr defaultRowHeight="15" x14ac:dyDescent="0.25"/>
  <cols>
    <col min="1" max="1" width="16.140625" bestFit="1" customWidth="1"/>
    <col min="2" max="2" width="15.28515625" bestFit="1" customWidth="1"/>
    <col min="3" max="3" width="16.42578125" customWidth="1"/>
    <col min="4" max="4" width="13.5703125" bestFit="1" customWidth="1"/>
    <col min="5" max="5" width="14.28515625" bestFit="1" customWidth="1"/>
    <col min="6" max="7" width="13.5703125" bestFit="1" customWidth="1"/>
  </cols>
  <sheetData>
    <row r="1" spans="1:4" x14ac:dyDescent="0.25">
      <c r="A1" t="s">
        <v>79</v>
      </c>
      <c r="B1" s="10">
        <v>22000000</v>
      </c>
    </row>
    <row r="2" spans="1:4" x14ac:dyDescent="0.25">
      <c r="A2" t="s">
        <v>80</v>
      </c>
      <c r="B2" s="2">
        <v>120</v>
      </c>
    </row>
    <row r="3" spans="1:4" x14ac:dyDescent="0.25">
      <c r="A3" t="s">
        <v>81</v>
      </c>
      <c r="B3">
        <v>0.12</v>
      </c>
    </row>
    <row r="4" spans="1:4" x14ac:dyDescent="0.25">
      <c r="A4" t="s">
        <v>82</v>
      </c>
      <c r="B4" s="39">
        <f>PMT(B3/12,B2,-(B1))</f>
        <v>315636.08648569218</v>
      </c>
    </row>
    <row r="5" spans="1:4" x14ac:dyDescent="0.25">
      <c r="B5" s="39"/>
    </row>
    <row r="6" spans="1:4" x14ac:dyDescent="0.25">
      <c r="A6">
        <v>0</v>
      </c>
      <c r="B6" t="s">
        <v>83</v>
      </c>
      <c r="C6" t="s">
        <v>84</v>
      </c>
      <c r="D6" t="s">
        <v>85</v>
      </c>
    </row>
    <row r="7" spans="1:4" x14ac:dyDescent="0.25">
      <c r="A7">
        <v>1</v>
      </c>
      <c r="B7" s="39">
        <f>$B$4</f>
        <v>315636.08648569218</v>
      </c>
      <c r="C7" s="39">
        <f>IPMT($B$3/12,A7,$B$2,($B$1))</f>
        <v>-220000</v>
      </c>
      <c r="D7" s="39">
        <f>B7+C7</f>
        <v>95636.086485692183</v>
      </c>
    </row>
    <row r="8" spans="1:4" x14ac:dyDescent="0.25">
      <c r="A8">
        <v>2</v>
      </c>
      <c r="B8" s="39">
        <f t="shared" ref="B8:B66" si="0">$B$4</f>
        <v>315636.08648569218</v>
      </c>
      <c r="C8" s="39">
        <f t="shared" ref="C8:C66" si="1">IPMT($B$3/12,A8,$B$2,($B$1))</f>
        <v>-219043.63913514314</v>
      </c>
      <c r="D8" s="39">
        <f t="shared" ref="D8:D66" si="2">B8+C8</f>
        <v>96592.447350549046</v>
      </c>
    </row>
    <row r="9" spans="1:4" x14ac:dyDescent="0.25">
      <c r="A9">
        <v>3</v>
      </c>
      <c r="B9" s="39">
        <f t="shared" si="0"/>
        <v>315636.08648569218</v>
      </c>
      <c r="C9" s="39">
        <f t="shared" si="1"/>
        <v>-218077.71466163761</v>
      </c>
      <c r="D9" s="39">
        <f t="shared" si="2"/>
        <v>97558.371824054571</v>
      </c>
    </row>
    <row r="10" spans="1:4" x14ac:dyDescent="0.25">
      <c r="A10">
        <v>4</v>
      </c>
      <c r="B10" s="39">
        <f t="shared" si="0"/>
        <v>315636.08648569218</v>
      </c>
      <c r="C10" s="39">
        <f t="shared" si="1"/>
        <v>-217102.13094339706</v>
      </c>
      <c r="D10" s="39">
        <f t="shared" si="2"/>
        <v>98533.955542295123</v>
      </c>
    </row>
    <row r="11" spans="1:4" x14ac:dyDescent="0.25">
      <c r="A11">
        <v>5</v>
      </c>
      <c r="B11" s="39">
        <f t="shared" si="0"/>
        <v>315636.08648569218</v>
      </c>
      <c r="C11" s="39">
        <f t="shared" si="1"/>
        <v>-216116.79138797411</v>
      </c>
      <c r="D11" s="39">
        <f t="shared" si="2"/>
        <v>99519.295097718074</v>
      </c>
    </row>
    <row r="12" spans="1:4" x14ac:dyDescent="0.25">
      <c r="A12">
        <v>6</v>
      </c>
      <c r="B12" s="39">
        <f t="shared" si="0"/>
        <v>315636.08648569218</v>
      </c>
      <c r="C12" s="39">
        <f t="shared" si="1"/>
        <v>-215121.59843699689</v>
      </c>
      <c r="D12" s="39">
        <f t="shared" si="2"/>
        <v>100514.48804869529</v>
      </c>
    </row>
    <row r="13" spans="1:4" x14ac:dyDescent="0.25">
      <c r="A13">
        <v>7</v>
      </c>
      <c r="B13" s="39">
        <f t="shared" si="0"/>
        <v>315636.08648569218</v>
      </c>
      <c r="C13" s="39">
        <f t="shared" si="1"/>
        <v>-214116.45355650998</v>
      </c>
      <c r="D13" s="39">
        <f t="shared" si="2"/>
        <v>101519.6329291822</v>
      </c>
    </row>
    <row r="14" spans="1:4" x14ac:dyDescent="0.25">
      <c r="A14">
        <v>8</v>
      </c>
      <c r="B14" s="39">
        <f t="shared" si="0"/>
        <v>315636.08648569218</v>
      </c>
      <c r="C14" s="39">
        <f t="shared" si="1"/>
        <v>-213101.25722721813</v>
      </c>
      <c r="D14" s="39">
        <f t="shared" si="2"/>
        <v>102534.82925847406</v>
      </c>
    </row>
    <row r="15" spans="1:4" x14ac:dyDescent="0.25">
      <c r="A15">
        <v>9</v>
      </c>
      <c r="B15" s="39">
        <f t="shared" si="0"/>
        <v>315636.08648569218</v>
      </c>
      <c r="C15" s="39">
        <f t="shared" si="1"/>
        <v>-212075.90893463339</v>
      </c>
      <c r="D15" s="39">
        <f t="shared" si="2"/>
        <v>103560.17755105879</v>
      </c>
    </row>
    <row r="16" spans="1:4" x14ac:dyDescent="0.25">
      <c r="A16">
        <v>10</v>
      </c>
      <c r="B16" s="39">
        <f t="shared" si="0"/>
        <v>315636.08648569218</v>
      </c>
      <c r="C16" s="39">
        <f t="shared" si="1"/>
        <v>-211040.30715912284</v>
      </c>
      <c r="D16" s="39">
        <f t="shared" si="2"/>
        <v>104595.77932656935</v>
      </c>
    </row>
    <row r="17" spans="1:7" x14ac:dyDescent="0.25">
      <c r="A17">
        <v>11</v>
      </c>
      <c r="B17" s="39">
        <f t="shared" si="0"/>
        <v>315636.08648569218</v>
      </c>
      <c r="C17" s="39">
        <f t="shared" si="1"/>
        <v>-209994.34936585711</v>
      </c>
      <c r="D17" s="39">
        <f t="shared" si="2"/>
        <v>105641.73711983507</v>
      </c>
    </row>
    <row r="18" spans="1:7" x14ac:dyDescent="0.25">
      <c r="A18">
        <v>12</v>
      </c>
      <c r="B18" s="39">
        <f t="shared" si="0"/>
        <v>315636.08648569218</v>
      </c>
      <c r="C18" s="39">
        <f t="shared" si="1"/>
        <v>-208937.93199465875</v>
      </c>
      <c r="D18" s="39">
        <f t="shared" si="2"/>
        <v>106698.15449103343</v>
      </c>
      <c r="E18" s="39">
        <f>SUM(C7:C18)</f>
        <v>-2574728.0828031488</v>
      </c>
      <c r="F18" s="39">
        <f>SUM(D7:D18)</f>
        <v>1212904.9550251572</v>
      </c>
      <c r="G18" s="39">
        <f>SUM(B7:B18)</f>
        <v>3787633.0378283071</v>
      </c>
    </row>
    <row r="19" spans="1:7" x14ac:dyDescent="0.25">
      <c r="A19">
        <v>13</v>
      </c>
      <c r="B19" s="39">
        <f t="shared" si="0"/>
        <v>315636.08648569218</v>
      </c>
      <c r="C19" s="39">
        <f t="shared" si="1"/>
        <v>-207870.95044974843</v>
      </c>
      <c r="D19" s="39">
        <f t="shared" si="2"/>
        <v>107765.13603594375</v>
      </c>
    </row>
    <row r="20" spans="1:7" x14ac:dyDescent="0.25">
      <c r="A20">
        <v>14</v>
      </c>
      <c r="B20" s="39">
        <f t="shared" si="0"/>
        <v>315636.08648569218</v>
      </c>
      <c r="C20" s="39">
        <f t="shared" si="1"/>
        <v>-206793.29908938895</v>
      </c>
      <c r="D20" s="39">
        <f t="shared" si="2"/>
        <v>108842.78739630323</v>
      </c>
    </row>
    <row r="21" spans="1:7" x14ac:dyDescent="0.25">
      <c r="A21">
        <v>15</v>
      </c>
      <c r="B21" s="39">
        <f t="shared" si="0"/>
        <v>315636.08648569218</v>
      </c>
      <c r="C21" s="39">
        <f t="shared" si="1"/>
        <v>-205704.87121542596</v>
      </c>
      <c r="D21" s="39">
        <f t="shared" si="2"/>
        <v>109931.21527026623</v>
      </c>
    </row>
    <row r="22" spans="1:7" x14ac:dyDescent="0.25">
      <c r="A22">
        <v>16</v>
      </c>
      <c r="B22" s="39">
        <f t="shared" si="0"/>
        <v>315636.08648569218</v>
      </c>
      <c r="C22" s="39">
        <f t="shared" si="1"/>
        <v>-204605.55906272327</v>
      </c>
      <c r="D22" s="39">
        <f t="shared" si="2"/>
        <v>111030.52742296891</v>
      </c>
    </row>
    <row r="23" spans="1:7" x14ac:dyDescent="0.25">
      <c r="A23">
        <v>17</v>
      </c>
      <c r="B23" s="39">
        <f t="shared" si="0"/>
        <v>315636.08648569218</v>
      </c>
      <c r="C23" s="39">
        <f t="shared" si="1"/>
        <v>-203495.2537884936</v>
      </c>
      <c r="D23" s="39">
        <f t="shared" si="2"/>
        <v>112140.83269719858</v>
      </c>
    </row>
    <row r="24" spans="1:7" x14ac:dyDescent="0.25">
      <c r="A24">
        <v>18</v>
      </c>
      <c r="B24" s="39">
        <f t="shared" si="0"/>
        <v>315636.08648569218</v>
      </c>
      <c r="C24" s="39">
        <f t="shared" si="1"/>
        <v>-202373.84546152165</v>
      </c>
      <c r="D24" s="39">
        <f t="shared" si="2"/>
        <v>113262.24102417054</v>
      </c>
    </row>
    <row r="25" spans="1:7" x14ac:dyDescent="0.25">
      <c r="A25">
        <v>19</v>
      </c>
      <c r="B25" s="39">
        <f t="shared" si="0"/>
        <v>315636.08648569218</v>
      </c>
      <c r="C25" s="39">
        <f t="shared" si="1"/>
        <v>-201241.22305127993</v>
      </c>
      <c r="D25" s="39">
        <f t="shared" si="2"/>
        <v>114394.86343441225</v>
      </c>
    </row>
    <row r="26" spans="1:7" x14ac:dyDescent="0.25">
      <c r="A26">
        <v>20</v>
      </c>
      <c r="B26" s="39">
        <f t="shared" si="0"/>
        <v>315636.08648569218</v>
      </c>
      <c r="C26" s="39">
        <f t="shared" si="1"/>
        <v>-200097.27441693583</v>
      </c>
      <c r="D26" s="39">
        <f t="shared" si="2"/>
        <v>115538.81206875635</v>
      </c>
    </row>
    <row r="27" spans="1:7" x14ac:dyDescent="0.25">
      <c r="A27">
        <v>21</v>
      </c>
      <c r="B27" s="39">
        <f t="shared" si="0"/>
        <v>315636.08648569218</v>
      </c>
      <c r="C27" s="39">
        <f t="shared" si="1"/>
        <v>-198941.88629624821</v>
      </c>
      <c r="D27" s="39">
        <f t="shared" si="2"/>
        <v>116694.20018944397</v>
      </c>
    </row>
    <row r="28" spans="1:7" x14ac:dyDescent="0.25">
      <c r="A28">
        <v>22</v>
      </c>
      <c r="B28" s="39">
        <f t="shared" si="0"/>
        <v>315636.08648569218</v>
      </c>
      <c r="C28" s="39">
        <f t="shared" si="1"/>
        <v>-197774.9442943538</v>
      </c>
      <c r="D28" s="39">
        <f t="shared" si="2"/>
        <v>117861.14219133838</v>
      </c>
    </row>
    <row r="29" spans="1:7" x14ac:dyDescent="0.25">
      <c r="A29">
        <v>23</v>
      </c>
      <c r="B29" s="39">
        <f t="shared" si="0"/>
        <v>315636.08648569218</v>
      </c>
      <c r="C29" s="39">
        <f t="shared" si="1"/>
        <v>-196596.33287244037</v>
      </c>
      <c r="D29" s="39">
        <f t="shared" si="2"/>
        <v>119039.75361325181</v>
      </c>
    </row>
    <row r="30" spans="1:7" x14ac:dyDescent="0.25">
      <c r="A30">
        <v>24</v>
      </c>
      <c r="B30" s="39">
        <f t="shared" si="0"/>
        <v>315636.08648569218</v>
      </c>
      <c r="C30" s="39">
        <f t="shared" si="1"/>
        <v>-195405.93533630788</v>
      </c>
      <c r="D30" s="39">
        <f t="shared" si="2"/>
        <v>120230.1511493843</v>
      </c>
      <c r="E30" s="39">
        <f>SUM(C19:C30)</f>
        <v>-2420901.3753348682</v>
      </c>
      <c r="F30" s="39">
        <f>SUM(D19:D30)</f>
        <v>1366731.6624934382</v>
      </c>
      <c r="G30" s="39">
        <f>F30-E30</f>
        <v>3787633.0378283067</v>
      </c>
    </row>
    <row r="31" spans="1:7" x14ac:dyDescent="0.25">
      <c r="A31">
        <v>25</v>
      </c>
      <c r="B31" s="39">
        <f t="shared" si="0"/>
        <v>315636.08648569218</v>
      </c>
      <c r="C31" s="39">
        <f t="shared" si="1"/>
        <v>-194203.63382481405</v>
      </c>
      <c r="D31" s="39">
        <f t="shared" si="2"/>
        <v>121432.45266087813</v>
      </c>
    </row>
    <row r="32" spans="1:7" x14ac:dyDescent="0.25">
      <c r="A32">
        <v>26</v>
      </c>
      <c r="B32" s="39">
        <f t="shared" si="0"/>
        <v>315636.08648569218</v>
      </c>
      <c r="C32" s="39">
        <f t="shared" si="1"/>
        <v>-192989.30929820528</v>
      </c>
      <c r="D32" s="39">
        <f t="shared" si="2"/>
        <v>122646.77718748691</v>
      </c>
    </row>
    <row r="33" spans="1:7" x14ac:dyDescent="0.25">
      <c r="A33">
        <v>27</v>
      </c>
      <c r="B33" s="39">
        <f t="shared" si="0"/>
        <v>315636.08648569218</v>
      </c>
      <c r="C33" s="39">
        <f t="shared" si="1"/>
        <v>-191762.84152633039</v>
      </c>
      <c r="D33" s="39">
        <f t="shared" si="2"/>
        <v>123873.24495936179</v>
      </c>
    </row>
    <row r="34" spans="1:7" x14ac:dyDescent="0.25">
      <c r="A34">
        <v>28</v>
      </c>
      <c r="B34" s="39">
        <f t="shared" si="0"/>
        <v>315636.08648569218</v>
      </c>
      <c r="C34" s="39">
        <f t="shared" si="1"/>
        <v>-190524.10907673676</v>
      </c>
      <c r="D34" s="39">
        <f t="shared" si="2"/>
        <v>125111.97740895543</v>
      </c>
    </row>
    <row r="35" spans="1:7" x14ac:dyDescent="0.25">
      <c r="A35">
        <v>29</v>
      </c>
      <c r="B35" s="39">
        <f t="shared" si="0"/>
        <v>315636.08648569218</v>
      </c>
      <c r="C35" s="39">
        <f t="shared" si="1"/>
        <v>-189272.98930264718</v>
      </c>
      <c r="D35" s="39">
        <f t="shared" si="2"/>
        <v>126363.097183045</v>
      </c>
    </row>
    <row r="36" spans="1:7" x14ac:dyDescent="0.25">
      <c r="A36">
        <v>30</v>
      </c>
      <c r="B36" s="39">
        <f t="shared" si="0"/>
        <v>315636.08648569218</v>
      </c>
      <c r="C36" s="39">
        <f t="shared" si="1"/>
        <v>-188009.35833081679</v>
      </c>
      <c r="D36" s="39">
        <f t="shared" si="2"/>
        <v>127626.7281548754</v>
      </c>
    </row>
    <row r="37" spans="1:7" x14ac:dyDescent="0.25">
      <c r="A37">
        <v>31</v>
      </c>
      <c r="B37" s="39">
        <f t="shared" si="0"/>
        <v>315636.08648569218</v>
      </c>
      <c r="C37" s="39">
        <f t="shared" si="1"/>
        <v>-186733.091049268</v>
      </c>
      <c r="D37" s="39">
        <f t="shared" si="2"/>
        <v>128902.99543642419</v>
      </c>
    </row>
    <row r="38" spans="1:7" x14ac:dyDescent="0.25">
      <c r="A38">
        <v>32</v>
      </c>
      <c r="B38" s="39">
        <f t="shared" si="0"/>
        <v>315636.08648569218</v>
      </c>
      <c r="C38" s="39">
        <f t="shared" si="1"/>
        <v>-185444.06109490377</v>
      </c>
      <c r="D38" s="39">
        <f t="shared" si="2"/>
        <v>130192.02539078842</v>
      </c>
    </row>
    <row r="39" spans="1:7" x14ac:dyDescent="0.25">
      <c r="A39">
        <v>33</v>
      </c>
      <c r="B39" s="39">
        <f t="shared" si="0"/>
        <v>315636.08648569218</v>
      </c>
      <c r="C39" s="39">
        <f t="shared" si="1"/>
        <v>-184142.14084099594</v>
      </c>
      <c r="D39" s="39">
        <f t="shared" si="2"/>
        <v>131493.94564469624</v>
      </c>
    </row>
    <row r="40" spans="1:7" x14ac:dyDescent="0.25">
      <c r="A40">
        <v>34</v>
      </c>
      <c r="B40" s="39">
        <f t="shared" si="0"/>
        <v>315636.08648569218</v>
      </c>
      <c r="C40" s="39">
        <f t="shared" si="1"/>
        <v>-182827.20138454891</v>
      </c>
      <c r="D40" s="39">
        <f t="shared" si="2"/>
        <v>132808.88510114327</v>
      </c>
    </row>
    <row r="41" spans="1:7" x14ac:dyDescent="0.25">
      <c r="A41">
        <v>35</v>
      </c>
      <c r="B41" s="39">
        <f t="shared" si="0"/>
        <v>315636.08648569218</v>
      </c>
      <c r="C41" s="39">
        <f t="shared" si="1"/>
        <v>-181499.1125335375</v>
      </c>
      <c r="D41" s="39">
        <f t="shared" si="2"/>
        <v>134136.97395215469</v>
      </c>
    </row>
    <row r="42" spans="1:7" x14ac:dyDescent="0.25">
      <c r="A42">
        <v>36</v>
      </c>
      <c r="B42" s="39">
        <f t="shared" si="0"/>
        <v>315636.08648569218</v>
      </c>
      <c r="C42" s="39">
        <f t="shared" si="1"/>
        <v>-180157.74279401597</v>
      </c>
      <c r="D42" s="39">
        <f t="shared" si="2"/>
        <v>135478.34369167621</v>
      </c>
      <c r="E42" s="39">
        <f>SUM(C31:C42)</f>
        <v>-2247565.5910568209</v>
      </c>
      <c r="F42" s="39">
        <f>SUM(D31:D42)</f>
        <v>1540067.4467714855</v>
      </c>
      <c r="G42" s="39">
        <f>F42-E42</f>
        <v>3787633.0378283067</v>
      </c>
    </row>
    <row r="43" spans="1:7" x14ac:dyDescent="0.25">
      <c r="A43">
        <v>37</v>
      </c>
      <c r="B43" s="39">
        <f t="shared" si="0"/>
        <v>315636.08648569218</v>
      </c>
      <c r="C43" s="39">
        <f t="shared" si="1"/>
        <v>-178802.9593570992</v>
      </c>
      <c r="D43" s="39">
        <f t="shared" si="2"/>
        <v>136833.12712859298</v>
      </c>
    </row>
    <row r="44" spans="1:7" x14ac:dyDescent="0.25">
      <c r="A44">
        <v>38</v>
      </c>
      <c r="B44" s="39">
        <f t="shared" si="0"/>
        <v>315636.08648569218</v>
      </c>
      <c r="C44" s="39">
        <f t="shared" si="1"/>
        <v>-177434.62808581325</v>
      </c>
      <c r="D44" s="39">
        <f t="shared" si="2"/>
        <v>138201.45839987893</v>
      </c>
    </row>
    <row r="45" spans="1:7" x14ac:dyDescent="0.25">
      <c r="A45">
        <v>39</v>
      </c>
      <c r="B45" s="39">
        <f t="shared" si="0"/>
        <v>315636.08648569218</v>
      </c>
      <c r="C45" s="39">
        <f t="shared" si="1"/>
        <v>-176052.61350181446</v>
      </c>
      <c r="D45" s="39">
        <f t="shared" si="2"/>
        <v>139583.47298387773</v>
      </c>
    </row>
    <row r="46" spans="1:7" x14ac:dyDescent="0.25">
      <c r="A46">
        <v>40</v>
      </c>
      <c r="B46" s="39">
        <f t="shared" si="0"/>
        <v>315636.08648569218</v>
      </c>
      <c r="C46" s="39">
        <f t="shared" si="1"/>
        <v>-174656.77877197569</v>
      </c>
      <c r="D46" s="39">
        <f t="shared" si="2"/>
        <v>140979.30771371649</v>
      </c>
    </row>
    <row r="47" spans="1:7" x14ac:dyDescent="0.25">
      <c r="A47">
        <v>41</v>
      </c>
      <c r="B47" s="39">
        <f t="shared" si="0"/>
        <v>315636.08648569218</v>
      </c>
      <c r="C47" s="39">
        <f t="shared" si="1"/>
        <v>-173246.98569483851</v>
      </c>
      <c r="D47" s="39">
        <f t="shared" si="2"/>
        <v>142389.10079085367</v>
      </c>
    </row>
    <row r="48" spans="1:7" x14ac:dyDescent="0.25">
      <c r="A48">
        <v>42</v>
      </c>
      <c r="B48" s="39">
        <f t="shared" si="0"/>
        <v>315636.08648569218</v>
      </c>
      <c r="C48" s="39">
        <f t="shared" si="1"/>
        <v>-171823.09468693001</v>
      </c>
      <c r="D48" s="39">
        <f t="shared" si="2"/>
        <v>143812.99179876217</v>
      </c>
    </row>
    <row r="49" spans="1:6" x14ac:dyDescent="0.25">
      <c r="A49">
        <v>43</v>
      </c>
      <c r="B49" s="39">
        <f t="shared" si="0"/>
        <v>315636.08648569218</v>
      </c>
      <c r="C49" s="39">
        <f t="shared" si="1"/>
        <v>-170384.96476894233</v>
      </c>
      <c r="D49" s="39">
        <f t="shared" si="2"/>
        <v>145251.12171674985</v>
      </c>
    </row>
    <row r="50" spans="1:6" x14ac:dyDescent="0.25">
      <c r="A50">
        <v>44</v>
      </c>
      <c r="B50" s="39">
        <f t="shared" si="0"/>
        <v>315636.08648569218</v>
      </c>
      <c r="C50" s="39">
        <f t="shared" si="1"/>
        <v>-168932.45355177484</v>
      </c>
      <c r="D50" s="39">
        <f t="shared" si="2"/>
        <v>146703.63293391734</v>
      </c>
    </row>
    <row r="51" spans="1:6" x14ac:dyDescent="0.25">
      <c r="A51">
        <v>45</v>
      </c>
      <c r="B51" s="39">
        <f t="shared" si="0"/>
        <v>315636.08648569218</v>
      </c>
      <c r="C51" s="39">
        <f t="shared" si="1"/>
        <v>-167465.41722243567</v>
      </c>
      <c r="D51" s="39">
        <f t="shared" si="2"/>
        <v>148170.66926325651</v>
      </c>
    </row>
    <row r="52" spans="1:6" x14ac:dyDescent="0.25">
      <c r="A52">
        <v>46</v>
      </c>
      <c r="B52" s="39">
        <f t="shared" si="0"/>
        <v>315636.08648569218</v>
      </c>
      <c r="C52" s="39">
        <f t="shared" si="1"/>
        <v>-165983.71052980309</v>
      </c>
      <c r="D52" s="39">
        <f t="shared" si="2"/>
        <v>149652.37595588909</v>
      </c>
    </row>
    <row r="53" spans="1:6" x14ac:dyDescent="0.25">
      <c r="A53">
        <v>47</v>
      </c>
      <c r="B53" s="39">
        <f t="shared" si="0"/>
        <v>315636.08648569218</v>
      </c>
      <c r="C53" s="39">
        <f t="shared" si="1"/>
        <v>-164487.18677024424</v>
      </c>
      <c r="D53" s="39">
        <f t="shared" si="2"/>
        <v>151148.89971544794</v>
      </c>
    </row>
    <row r="54" spans="1:6" x14ac:dyDescent="0.25">
      <c r="A54">
        <v>48</v>
      </c>
      <c r="B54" s="39">
        <f t="shared" si="0"/>
        <v>315636.08648569218</v>
      </c>
      <c r="C54" s="39">
        <f t="shared" si="1"/>
        <v>-162975.69777308972</v>
      </c>
      <c r="D54" s="39">
        <f t="shared" si="2"/>
        <v>152660.38871260246</v>
      </c>
      <c r="E54" s="39">
        <f>SUM(C43:C54)</f>
        <v>-2052246.490714761</v>
      </c>
      <c r="F54" s="39">
        <f>SUM(D43:D54)</f>
        <v>1735386.547113545</v>
      </c>
    </row>
    <row r="55" spans="1:6" x14ac:dyDescent="0.25">
      <c r="A55">
        <v>49</v>
      </c>
      <c r="B55" s="39">
        <f t="shared" si="0"/>
        <v>315636.08648569218</v>
      </c>
      <c r="C55" s="39">
        <f t="shared" si="1"/>
        <v>-161449.09388596372</v>
      </c>
      <c r="D55" s="39">
        <f t="shared" si="2"/>
        <v>154186.99259972846</v>
      </c>
    </row>
    <row r="56" spans="1:6" x14ac:dyDescent="0.25">
      <c r="A56">
        <v>50</v>
      </c>
      <c r="B56" s="39">
        <f t="shared" si="0"/>
        <v>315636.08648569218</v>
      </c>
      <c r="C56" s="39">
        <f t="shared" si="1"/>
        <v>-159907.22395996645</v>
      </c>
      <c r="D56" s="39">
        <f t="shared" si="2"/>
        <v>155728.86252572574</v>
      </c>
    </row>
    <row r="57" spans="1:6" x14ac:dyDescent="0.25">
      <c r="A57">
        <v>51</v>
      </c>
      <c r="B57" s="39">
        <f t="shared" si="0"/>
        <v>315636.08648569218</v>
      </c>
      <c r="C57" s="39">
        <f t="shared" si="1"/>
        <v>-158349.93533470915</v>
      </c>
      <c r="D57" s="39">
        <f t="shared" si="2"/>
        <v>157286.15115098303</v>
      </c>
    </row>
    <row r="58" spans="1:6" x14ac:dyDescent="0.25">
      <c r="A58">
        <v>52</v>
      </c>
      <c r="B58" s="39">
        <f t="shared" si="0"/>
        <v>315636.08648569218</v>
      </c>
      <c r="C58" s="39">
        <f t="shared" si="1"/>
        <v>-156777.07382319935</v>
      </c>
      <c r="D58" s="39">
        <f t="shared" si="2"/>
        <v>158859.01266249284</v>
      </c>
    </row>
    <row r="59" spans="1:6" x14ac:dyDescent="0.25">
      <c r="A59">
        <v>53</v>
      </c>
      <c r="B59" s="39">
        <f t="shared" si="0"/>
        <v>315636.08648569218</v>
      </c>
      <c r="C59" s="39">
        <f t="shared" si="1"/>
        <v>-155188.4836965744</v>
      </c>
      <c r="D59" s="39">
        <f t="shared" si="2"/>
        <v>160447.60278911778</v>
      </c>
    </row>
    <row r="60" spans="1:6" x14ac:dyDescent="0.25">
      <c r="A60">
        <v>54</v>
      </c>
      <c r="B60" s="39">
        <f t="shared" si="0"/>
        <v>315636.08648569218</v>
      </c>
      <c r="C60" s="39">
        <f t="shared" si="1"/>
        <v>-153584.00766868325</v>
      </c>
      <c r="D60" s="39">
        <f t="shared" si="2"/>
        <v>162052.07881700894</v>
      </c>
    </row>
    <row r="61" spans="1:6" x14ac:dyDescent="0.25">
      <c r="A61">
        <v>55</v>
      </c>
      <c r="B61" s="39">
        <f t="shared" si="0"/>
        <v>315636.08648569218</v>
      </c>
      <c r="C61" s="39">
        <f t="shared" si="1"/>
        <v>-151963.48688051314</v>
      </c>
      <c r="D61" s="39">
        <f t="shared" si="2"/>
        <v>163672.59960517904</v>
      </c>
    </row>
    <row r="62" spans="1:6" x14ac:dyDescent="0.25">
      <c r="A62">
        <v>56</v>
      </c>
      <c r="B62" s="39">
        <f t="shared" si="0"/>
        <v>315636.08648569218</v>
      </c>
      <c r="C62" s="39">
        <f t="shared" si="1"/>
        <v>-150326.76088446134</v>
      </c>
      <c r="D62" s="39">
        <f t="shared" si="2"/>
        <v>165309.32560123084</v>
      </c>
    </row>
    <row r="63" spans="1:6" x14ac:dyDescent="0.25">
      <c r="A63">
        <v>57</v>
      </c>
      <c r="B63" s="39">
        <f t="shared" si="0"/>
        <v>315636.08648569218</v>
      </c>
      <c r="C63" s="39">
        <f t="shared" si="1"/>
        <v>-148673.66762844907</v>
      </c>
      <c r="D63" s="39">
        <f t="shared" si="2"/>
        <v>166962.41885724312</v>
      </c>
    </row>
    <row r="64" spans="1:6" x14ac:dyDescent="0.25">
      <c r="A64">
        <v>58</v>
      </c>
      <c r="B64" s="39">
        <f t="shared" si="0"/>
        <v>315636.08648569218</v>
      </c>
      <c r="C64" s="39">
        <f t="shared" si="1"/>
        <v>-147004.04343987664</v>
      </c>
      <c r="D64" s="39">
        <f t="shared" si="2"/>
        <v>168632.04304581555</v>
      </c>
    </row>
    <row r="65" spans="1:6" x14ac:dyDescent="0.25">
      <c r="A65">
        <v>59</v>
      </c>
      <c r="B65" s="39">
        <f t="shared" si="0"/>
        <v>315636.08648569218</v>
      </c>
      <c r="C65" s="39">
        <f t="shared" si="1"/>
        <v>-145317.72300941846</v>
      </c>
      <c r="D65" s="39">
        <f t="shared" si="2"/>
        <v>170318.36347627372</v>
      </c>
    </row>
    <row r="66" spans="1:6" x14ac:dyDescent="0.25">
      <c r="A66">
        <v>60</v>
      </c>
      <c r="B66" s="39">
        <f t="shared" si="0"/>
        <v>315636.08648569218</v>
      </c>
      <c r="C66" s="39">
        <f t="shared" si="1"/>
        <v>-143614.53937465572</v>
      </c>
      <c r="D66" s="39">
        <f t="shared" si="2"/>
        <v>172021.54711103646</v>
      </c>
      <c r="E66" s="39">
        <f>SUM(C55:C66)</f>
        <v>-1832156.0395864709</v>
      </c>
      <c r="F66" s="39">
        <f>SUM(D55:D66)</f>
        <v>1955476.9982418355</v>
      </c>
    </row>
    <row r="67" spans="1:6" x14ac:dyDescent="0.25">
      <c r="C67" s="39">
        <f>SUM(C7:C66)</f>
        <v>-11127597.579496065</v>
      </c>
      <c r="D67" s="39">
        <f>SUM(D7:D66)</f>
        <v>7810567.6096454607</v>
      </c>
      <c r="E67" s="39">
        <f>SUM(E66,E54,E42,E30,E18)</f>
        <v>-11127597.579496071</v>
      </c>
      <c r="F67" s="39">
        <f>SUM(F66,F54,F42,F30,F18)</f>
        <v>7810567.6096454617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A3838-B94C-4CC3-89A2-DA94BB29189C}">
  <sheetPr>
    <tabColor theme="3" tint="0.249977111117893"/>
  </sheetPr>
  <dimension ref="A1:L41"/>
  <sheetViews>
    <sheetView showGridLines="0" workbookViewId="0">
      <selection activeCell="B6" sqref="B6"/>
    </sheetView>
  </sheetViews>
  <sheetFormatPr defaultRowHeight="15" x14ac:dyDescent="0.25"/>
  <cols>
    <col min="1" max="1" width="37.140625" bestFit="1" customWidth="1"/>
    <col min="2" max="5" width="20.7109375" bestFit="1" customWidth="1"/>
    <col min="6" max="6" width="22.5703125" bestFit="1" customWidth="1"/>
    <col min="8" max="8" width="19.85546875" bestFit="1" customWidth="1"/>
    <col min="9" max="9" width="15.28515625" bestFit="1" customWidth="1"/>
    <col min="10" max="12" width="16.28515625" bestFit="1" customWidth="1"/>
  </cols>
  <sheetData>
    <row r="1" spans="1:12" ht="15.75" x14ac:dyDescent="0.25">
      <c r="A1" s="133" t="s">
        <v>122</v>
      </c>
      <c r="B1" s="133"/>
      <c r="C1" s="133"/>
      <c r="D1" s="133"/>
      <c r="E1" s="133"/>
      <c r="F1" s="133"/>
    </row>
    <row r="2" spans="1:12" ht="15.75" x14ac:dyDescent="0.25">
      <c r="A2" s="6" t="s">
        <v>18</v>
      </c>
    </row>
    <row r="3" spans="1:12" ht="16.5" thickBot="1" x14ac:dyDescent="0.3">
      <c r="A3" s="7"/>
      <c r="B3" s="8" t="s">
        <v>19</v>
      </c>
      <c r="C3" s="8" t="s">
        <v>20</v>
      </c>
      <c r="D3" s="8" t="s">
        <v>21</v>
      </c>
      <c r="E3" s="8" t="s">
        <v>22</v>
      </c>
      <c r="F3" s="8" t="s">
        <v>23</v>
      </c>
    </row>
    <row r="4" spans="1:12" ht="15.75" x14ac:dyDescent="0.25">
      <c r="A4" s="9" t="s">
        <v>24</v>
      </c>
    </row>
    <row r="5" spans="1:12" x14ac:dyDescent="0.25">
      <c r="A5" t="s">
        <v>89</v>
      </c>
      <c r="B5" s="51">
        <f>ANALYSIS!AU11</f>
        <v>41472000</v>
      </c>
      <c r="C5" s="51">
        <f>ANALYSIS!AU25</f>
        <v>66528000</v>
      </c>
      <c r="D5" s="51">
        <f>ANALYSIS!AU42</f>
        <v>136944000</v>
      </c>
      <c r="E5" s="51">
        <f>ANALYSIS!AU57</f>
        <v>215136000</v>
      </c>
      <c r="F5" s="51">
        <f>ANALYSIS!AU74</f>
        <v>264384000</v>
      </c>
    </row>
    <row r="6" spans="1:12" x14ac:dyDescent="0.25">
      <c r="A6" t="s">
        <v>90</v>
      </c>
      <c r="B6" s="51">
        <f>ANALYSIS!BK11</f>
        <v>20160000</v>
      </c>
      <c r="C6" s="51">
        <f>ANALYSIS!BK25</f>
        <v>40320000</v>
      </c>
      <c r="D6" s="51">
        <f>ANALYSIS!BK40</f>
        <v>30240000</v>
      </c>
      <c r="E6" s="51">
        <f>ANALYSIS!BK55</f>
        <v>77760000</v>
      </c>
      <c r="F6" s="51">
        <f>ANALYSIS!BK72</f>
        <v>77760000</v>
      </c>
    </row>
    <row r="7" spans="1:12" x14ac:dyDescent="0.25">
      <c r="A7" t="s">
        <v>105</v>
      </c>
      <c r="B7" s="51"/>
      <c r="C7" s="51"/>
      <c r="D7" s="51"/>
      <c r="E7" s="51"/>
      <c r="F7" s="51"/>
    </row>
    <row r="8" spans="1:12" ht="15.75" thickBot="1" x14ac:dyDescent="0.3">
      <c r="A8" s="11"/>
      <c r="B8" s="12"/>
      <c r="C8" s="12"/>
      <c r="D8" s="12"/>
      <c r="E8" s="12"/>
      <c r="F8" s="12"/>
    </row>
    <row r="9" spans="1:12" ht="15.75" x14ac:dyDescent="0.25">
      <c r="A9" s="13" t="s">
        <v>26</v>
      </c>
      <c r="B9" s="52">
        <f>SUM(B5:B8)</f>
        <v>61632000</v>
      </c>
      <c r="C9" s="52">
        <f>SUM(C5:C8)</f>
        <v>106848000</v>
      </c>
      <c r="D9" s="52">
        <f>SUM(D5:D8)</f>
        <v>167184000</v>
      </c>
      <c r="E9" s="52">
        <f>SUM(E5:E8)</f>
        <v>292896000</v>
      </c>
      <c r="F9" s="52">
        <f>SUM(F5:F8)</f>
        <v>342144000</v>
      </c>
    </row>
    <row r="10" spans="1:12" ht="9" customHeight="1" x14ac:dyDescent="0.3">
      <c r="A10" s="15"/>
    </row>
    <row r="11" spans="1:12" ht="15.75" x14ac:dyDescent="0.25">
      <c r="A11" s="9" t="s">
        <v>27</v>
      </c>
    </row>
    <row r="12" spans="1:12" ht="15.75" x14ac:dyDescent="0.25">
      <c r="A12" s="16" t="s">
        <v>91</v>
      </c>
      <c r="B12" s="17">
        <f>ANALYSIS!BO12</f>
        <v>17884800</v>
      </c>
      <c r="C12" s="17">
        <f>ANALYSIS!BO26</f>
        <v>30844800</v>
      </c>
      <c r="D12" s="17">
        <f>ANALYSIS!BO41</f>
        <v>49248000</v>
      </c>
      <c r="E12" s="17">
        <f>ANALYSIS!BO56</f>
        <v>85536000</v>
      </c>
      <c r="F12" s="17">
        <f>ANALYSIS!BO73</f>
        <v>100310400</v>
      </c>
      <c r="H12" s="38"/>
      <c r="I12" s="38"/>
      <c r="J12" s="38"/>
      <c r="K12" s="38"/>
      <c r="L12" s="38"/>
    </row>
    <row r="13" spans="1:12" ht="15.75" x14ac:dyDescent="0.25">
      <c r="A13" s="16" t="s">
        <v>92</v>
      </c>
      <c r="B13" s="17">
        <f>ANALYSIS!BL12</f>
        <v>9936000</v>
      </c>
      <c r="C13" s="17">
        <f>ANALYSIS!BL26</f>
        <v>17136000</v>
      </c>
      <c r="D13" s="17">
        <f>ANALYSIS!BL41</f>
        <v>35160000</v>
      </c>
      <c r="E13" s="17">
        <f>ANALYSIS!BL56</f>
        <v>66240000</v>
      </c>
      <c r="F13" s="17">
        <f>ANALYSIS!BL73</f>
        <v>76008000</v>
      </c>
      <c r="H13" s="38"/>
      <c r="I13" s="38"/>
      <c r="J13" s="38"/>
    </row>
    <row r="14" spans="1:12" ht="15.75" x14ac:dyDescent="0.25">
      <c r="A14" s="16" t="s">
        <v>93</v>
      </c>
      <c r="B14" s="17">
        <f>ANALYSIS!BQ26</f>
        <v>14203560</v>
      </c>
      <c r="C14" s="17">
        <f>ANALYSIS!BQ26</f>
        <v>14203560</v>
      </c>
      <c r="D14" s="17">
        <f>ANALYSIS!BQ41</f>
        <v>20341905.600000001</v>
      </c>
      <c r="E14" s="17">
        <f>ANALYSIS!BQ56</f>
        <v>30673809.600000001</v>
      </c>
      <c r="F14" s="17">
        <f>ANALYSIS!BQ73</f>
        <v>37241793.600000001</v>
      </c>
      <c r="H14" s="38"/>
      <c r="I14" s="38"/>
      <c r="J14" s="38"/>
    </row>
    <row r="15" spans="1:12" ht="15.75" x14ac:dyDescent="0.25">
      <c r="A15" s="16" t="s">
        <v>106</v>
      </c>
      <c r="B15" s="17">
        <v>2850000</v>
      </c>
      <c r="C15" s="17">
        <v>3450000</v>
      </c>
      <c r="D15" s="17">
        <v>4450000</v>
      </c>
      <c r="E15" s="17">
        <v>5750000</v>
      </c>
      <c r="F15" s="17">
        <v>7000000</v>
      </c>
      <c r="H15" s="38"/>
      <c r="I15" s="38"/>
      <c r="J15" s="38"/>
    </row>
    <row r="16" spans="1:12" ht="15.75" x14ac:dyDescent="0.25">
      <c r="A16" s="16" t="s">
        <v>94</v>
      </c>
      <c r="B16" s="17">
        <v>450000</v>
      </c>
      <c r="C16" s="17">
        <v>475000</v>
      </c>
      <c r="D16" s="17">
        <v>525000</v>
      </c>
      <c r="E16" s="17">
        <v>600000</v>
      </c>
      <c r="F16" s="17">
        <v>850000</v>
      </c>
      <c r="H16" s="38"/>
      <c r="I16" s="38"/>
      <c r="J16" s="38"/>
    </row>
    <row r="17" spans="1:12" ht="15.75" x14ac:dyDescent="0.25">
      <c r="A17" s="16" t="s">
        <v>95</v>
      </c>
      <c r="B17" s="17">
        <v>450000</v>
      </c>
      <c r="C17" s="17">
        <v>550000</v>
      </c>
      <c r="D17" s="17">
        <v>650000</v>
      </c>
      <c r="E17" s="17">
        <v>950000</v>
      </c>
      <c r="F17" s="17">
        <v>1250000</v>
      </c>
      <c r="H17" s="38"/>
      <c r="I17" s="38"/>
      <c r="J17" s="38"/>
    </row>
    <row r="18" spans="1:12" ht="15.75" x14ac:dyDescent="0.25">
      <c r="A18" s="16" t="s">
        <v>96</v>
      </c>
      <c r="B18" s="17">
        <v>600000</v>
      </c>
      <c r="C18" s="17">
        <v>900000</v>
      </c>
      <c r="D18" s="17">
        <v>1350000</v>
      </c>
      <c r="E18" s="17">
        <v>2100000</v>
      </c>
      <c r="F18" s="17">
        <v>2450000</v>
      </c>
      <c r="H18" s="38"/>
      <c r="I18" s="38"/>
      <c r="J18" s="38"/>
    </row>
    <row r="19" spans="1:12" ht="15.75" x14ac:dyDescent="0.25">
      <c r="A19" s="16" t="s">
        <v>97</v>
      </c>
      <c r="B19" s="17">
        <v>527000</v>
      </c>
      <c r="C19" s="17">
        <v>650000</v>
      </c>
      <c r="D19" s="17">
        <v>850000</v>
      </c>
      <c r="E19" s="17">
        <v>1575000</v>
      </c>
      <c r="F19" s="17">
        <v>2575000</v>
      </c>
      <c r="H19" s="38"/>
      <c r="I19" s="38"/>
      <c r="J19" s="38"/>
    </row>
    <row r="20" spans="1:12" ht="15.75" x14ac:dyDescent="0.25">
      <c r="A20" s="16"/>
      <c r="B20" s="17"/>
      <c r="C20" s="17"/>
      <c r="D20" s="17"/>
      <c r="E20" s="17"/>
      <c r="F20" s="17"/>
    </row>
    <row r="21" spans="1:12" ht="16.5" thickBot="1" x14ac:dyDescent="0.3">
      <c r="A21" s="18" t="s">
        <v>30</v>
      </c>
      <c r="B21" s="19"/>
      <c r="C21" s="19"/>
      <c r="D21" s="19"/>
      <c r="E21" s="19"/>
      <c r="F21" s="19"/>
    </row>
    <row r="22" spans="1:12" ht="15.75" x14ac:dyDescent="0.25">
      <c r="A22" s="13" t="s">
        <v>31</v>
      </c>
      <c r="B22" s="20">
        <f>SUM(B12:B21)</f>
        <v>46901360</v>
      </c>
      <c r="C22" s="20">
        <f>SUM(C12:C21)</f>
        <v>68209360</v>
      </c>
      <c r="D22" s="20">
        <f>SUM(D12:D21)</f>
        <v>112574905.59999999</v>
      </c>
      <c r="E22" s="20">
        <f>SUM(E12:E21)</f>
        <v>193424809.59999999</v>
      </c>
      <c r="F22" s="20">
        <f>SUM(F12:F21)</f>
        <v>227685193.59999999</v>
      </c>
    </row>
    <row r="23" spans="1:12" ht="6.75" customHeight="1" x14ac:dyDescent="0.25">
      <c r="A23" s="16"/>
    </row>
    <row r="24" spans="1:12" ht="15.75" x14ac:dyDescent="0.25">
      <c r="A24" s="21" t="s">
        <v>32</v>
      </c>
      <c r="B24" s="22">
        <f>B9-B22</f>
        <v>14730640</v>
      </c>
      <c r="C24" s="22">
        <f>C9-C22</f>
        <v>38638640</v>
      </c>
      <c r="D24" s="22">
        <f>D9-D22</f>
        <v>54609094.400000006</v>
      </c>
      <c r="E24" s="22">
        <f>E9-E22</f>
        <v>99471190.400000006</v>
      </c>
      <c r="F24" s="22">
        <f>F9-F22</f>
        <v>114458806.40000001</v>
      </c>
      <c r="I24" s="17"/>
    </row>
    <row r="25" spans="1:12" x14ac:dyDescent="0.25">
      <c r="A25" s="23" t="s">
        <v>33</v>
      </c>
      <c r="B25" s="53">
        <f>B24/B9</f>
        <v>0.23900960539979232</v>
      </c>
      <c r="C25" s="53">
        <f>C24/C9</f>
        <v>0.36162249176400119</v>
      </c>
      <c r="D25" s="53">
        <f>D24/D9</f>
        <v>0.32664067374868411</v>
      </c>
      <c r="E25" s="53">
        <f>E24/E9</f>
        <v>0.33961266251502242</v>
      </c>
      <c r="F25" s="53">
        <f>F24/F9</f>
        <v>0.3345340160867939</v>
      </c>
    </row>
    <row r="26" spans="1:12" ht="15.75" x14ac:dyDescent="0.25">
      <c r="A26" s="9" t="s">
        <v>34</v>
      </c>
    </row>
    <row r="27" spans="1:12" ht="15.75" x14ac:dyDescent="0.25">
      <c r="A27" s="9" t="s">
        <v>35</v>
      </c>
      <c r="B27" s="17">
        <v>1500000</v>
      </c>
      <c r="C27" s="17">
        <v>1750000</v>
      </c>
      <c r="D27" s="17">
        <v>2250000</v>
      </c>
      <c r="E27" s="17">
        <v>2750000</v>
      </c>
      <c r="F27" s="17">
        <v>3500000</v>
      </c>
      <c r="H27" s="38"/>
      <c r="I27" s="17"/>
    </row>
    <row r="28" spans="1:12" ht="15.75" thickBot="1" x14ac:dyDescent="0.3">
      <c r="A28" s="25" t="s">
        <v>36</v>
      </c>
      <c r="B28" s="26">
        <v>1000000</v>
      </c>
      <c r="C28" s="26">
        <v>1400000</v>
      </c>
      <c r="D28" s="26">
        <v>1800000</v>
      </c>
      <c r="E28" s="26">
        <v>2200000</v>
      </c>
      <c r="F28" s="26">
        <v>2850000</v>
      </c>
      <c r="H28" s="38"/>
    </row>
    <row r="29" spans="1:12" ht="15.75" x14ac:dyDescent="0.25">
      <c r="A29" s="13" t="s">
        <v>37</v>
      </c>
      <c r="B29" s="20">
        <f>SUM(B27:B28)</f>
        <v>2500000</v>
      </c>
      <c r="C29" s="20">
        <f>SUM(C27:C28)</f>
        <v>3150000</v>
      </c>
      <c r="D29" s="20">
        <f>SUM(D27:D28)</f>
        <v>4050000</v>
      </c>
      <c r="E29" s="20">
        <f>SUM(E27:E28)</f>
        <v>4950000</v>
      </c>
      <c r="F29" s="20">
        <f>SUM(F27:F28)</f>
        <v>6350000</v>
      </c>
      <c r="H29" s="17"/>
      <c r="I29" s="17"/>
      <c r="J29" s="17"/>
      <c r="K29" s="17"/>
      <c r="L29" s="17"/>
    </row>
    <row r="30" spans="1:12" ht="16.5" thickBot="1" x14ac:dyDescent="0.3">
      <c r="A30" s="27"/>
      <c r="B30" s="27"/>
      <c r="C30" s="27"/>
      <c r="D30" s="27"/>
      <c r="E30" s="27"/>
      <c r="F30" s="27"/>
    </row>
    <row r="31" spans="1:12" ht="15.75" x14ac:dyDescent="0.25">
      <c r="A31" s="28" t="s">
        <v>38</v>
      </c>
      <c r="B31" s="29">
        <f>B24-B29</f>
        <v>12230640</v>
      </c>
      <c r="C31" s="29">
        <f>C24-C29</f>
        <v>35488640</v>
      </c>
      <c r="D31" s="29">
        <f>D24-D29</f>
        <v>50559094.400000006</v>
      </c>
      <c r="E31" s="29">
        <f>E24-E29</f>
        <v>94521190.400000006</v>
      </c>
      <c r="F31" s="29">
        <f>F24-F29</f>
        <v>108108806.40000001</v>
      </c>
    </row>
    <row r="32" spans="1:12" x14ac:dyDescent="0.25">
      <c r="A32" s="23" t="s">
        <v>39</v>
      </c>
      <c r="B32" s="53">
        <f>B31/B9</f>
        <v>0.198446261682243</v>
      </c>
      <c r="C32" s="53">
        <f>C31/C9</f>
        <v>0.33214135968852948</v>
      </c>
      <c r="D32" s="53">
        <f>D31/D9</f>
        <v>0.30241586754713373</v>
      </c>
      <c r="E32" s="53">
        <f>E31/E9</f>
        <v>0.32271246585818858</v>
      </c>
      <c r="F32" s="53">
        <f>F31/F9</f>
        <v>0.31597457912457916</v>
      </c>
    </row>
    <row r="33" spans="1:6" ht="15.75" x14ac:dyDescent="0.25">
      <c r="A33" s="9" t="s">
        <v>40</v>
      </c>
      <c r="B33" s="30">
        <f>'loan 1Majestic'!E18*-1</f>
        <v>4908200.6312084729</v>
      </c>
      <c r="C33" s="30">
        <f>('loan 1Majestic'!E30+'loan 1Majestic'!K18)*-1</f>
        <v>6792484.033280788</v>
      </c>
      <c r="D33" s="30">
        <f>('loan 1Majestic'!E42+'loan 1Majestic'!K30+'loan 1Majestic'!Q18)*-1</f>
        <v>10105260.408280805</v>
      </c>
      <c r="E33" s="30">
        <f>('loan 1Majestic'!E54+'loan 1Majestic'!K42+'loan 1Majestic'!Q30+'loan 1Majestic'!W18)*-1</f>
        <v>14005338.592989486</v>
      </c>
      <c r="F33" s="30">
        <f>('loan 1Majestic'!E66+'loan 1Majestic'!K54+'loan 1Majestic'!Q42+'loan 1Majestic'!W30+'loan 1Majestic'!AC18)*-1</f>
        <v>14805460.446593825</v>
      </c>
    </row>
    <row r="34" spans="1:6" x14ac:dyDescent="0.25">
      <c r="A34" s="31" t="s">
        <v>41</v>
      </c>
      <c r="B34" s="54">
        <v>255000</v>
      </c>
      <c r="C34" s="54">
        <v>550000</v>
      </c>
      <c r="D34" s="54">
        <v>750000</v>
      </c>
      <c r="E34" s="54">
        <v>1000000</v>
      </c>
      <c r="F34" s="54">
        <v>1250000</v>
      </c>
    </row>
    <row r="35" spans="1:6" ht="15.75" thickBot="1" x14ac:dyDescent="0.3">
      <c r="A35" s="25" t="s">
        <v>42</v>
      </c>
      <c r="B35" s="33">
        <f>B31*variables!$C$8</f>
        <v>3057660</v>
      </c>
      <c r="C35" s="33">
        <f>C31*variables!$C$8</f>
        <v>8872160</v>
      </c>
      <c r="D35" s="33">
        <f>D31*variables!$C$8</f>
        <v>12639773.600000001</v>
      </c>
      <c r="E35" s="33">
        <f>E31*variables!$C$8</f>
        <v>23630297.600000001</v>
      </c>
      <c r="F35" s="33">
        <f>F31*variables!$C$8</f>
        <v>27027201.600000001</v>
      </c>
    </row>
    <row r="36" spans="1:6" ht="15.75" x14ac:dyDescent="0.25">
      <c r="A36" s="34" t="s">
        <v>43</v>
      </c>
      <c r="B36" s="55">
        <f>B31-B35-B34-B33</f>
        <v>4009779.3687915271</v>
      </c>
      <c r="C36" s="55">
        <f t="shared" ref="C36:F36" si="0">C31-C35-C34-C33</f>
        <v>19273995.96671921</v>
      </c>
      <c r="D36" s="55">
        <f t="shared" si="0"/>
        <v>27064060.3917192</v>
      </c>
      <c r="E36" s="55">
        <f t="shared" si="0"/>
        <v>55885554.207010522</v>
      </c>
      <c r="F36" s="55">
        <f t="shared" si="0"/>
        <v>65026144.353406191</v>
      </c>
    </row>
    <row r="37" spans="1:6" x14ac:dyDescent="0.25">
      <c r="A37" s="56" t="s">
        <v>44</v>
      </c>
      <c r="B37" s="57">
        <f>B36/B9</f>
        <v>6.506002350713147E-2</v>
      </c>
      <c r="C37" s="57">
        <f>C36/C9</f>
        <v>0.18038705419585963</v>
      </c>
      <c r="D37" s="57">
        <f>D36/D9</f>
        <v>0.16188188099171691</v>
      </c>
      <c r="E37" s="57">
        <f>E36/E9</f>
        <v>0.19080340532820703</v>
      </c>
      <c r="F37" s="57">
        <f>F36/F9</f>
        <v>0.19005490189337293</v>
      </c>
    </row>
    <row r="38" spans="1:6" x14ac:dyDescent="0.25">
      <c r="B38" s="38"/>
      <c r="C38" s="38"/>
    </row>
    <row r="41" spans="1:6" x14ac:dyDescent="0.25">
      <c r="B41" s="17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E49A8-5949-433E-81A7-25541AD756FA}">
  <sheetPr>
    <tabColor theme="3" tint="0.249977111117893"/>
  </sheetPr>
  <dimension ref="A1:H44"/>
  <sheetViews>
    <sheetView showGridLines="0" topLeftCell="A22" workbookViewId="0">
      <selection sqref="A1:F44"/>
    </sheetView>
  </sheetViews>
  <sheetFormatPr defaultRowHeight="15" x14ac:dyDescent="0.25"/>
  <cols>
    <col min="1" max="1" width="38.28515625" bestFit="1" customWidth="1"/>
    <col min="2" max="6" width="16.42578125" customWidth="1"/>
    <col min="8" max="8" width="17" bestFit="1" customWidth="1"/>
  </cols>
  <sheetData>
    <row r="1" spans="1:6" x14ac:dyDescent="0.25">
      <c r="A1" s="134" t="s">
        <v>123</v>
      </c>
      <c r="B1" s="134"/>
      <c r="C1" s="134"/>
      <c r="D1" s="134"/>
      <c r="E1" s="134"/>
      <c r="F1" s="134"/>
    </row>
    <row r="2" spans="1:6" x14ac:dyDescent="0.25">
      <c r="A2" s="40"/>
      <c r="B2" s="41" t="s">
        <v>19</v>
      </c>
      <c r="C2" s="41" t="s">
        <v>20</v>
      </c>
      <c r="D2" s="41" t="s">
        <v>21</v>
      </c>
      <c r="E2" s="41" t="s">
        <v>22</v>
      </c>
      <c r="F2" s="41" t="s">
        <v>23</v>
      </c>
    </row>
    <row r="3" spans="1:6" ht="15.75" x14ac:dyDescent="0.25">
      <c r="A3" s="114" t="s">
        <v>46</v>
      </c>
      <c r="C3" s="17">
        <f>B44</f>
        <v>3234788.6913888603</v>
      </c>
      <c r="D3" s="17">
        <f>C44</f>
        <v>21403757.175797328</v>
      </c>
      <c r="E3" s="17">
        <f>D44</f>
        <v>46223772.846492551</v>
      </c>
      <c r="F3" s="17">
        <f>E44</f>
        <v>97997339.625971198</v>
      </c>
    </row>
    <row r="4" spans="1:6" ht="5.25" customHeight="1" x14ac:dyDescent="0.25"/>
    <row r="5" spans="1:6" ht="15.75" x14ac:dyDescent="0.25">
      <c r="A5" s="115" t="s">
        <v>47</v>
      </c>
      <c r="B5" s="116"/>
      <c r="C5" s="116"/>
      <c r="D5" s="116"/>
      <c r="E5" s="116"/>
      <c r="F5" s="116"/>
    </row>
    <row r="6" spans="1:6" ht="4.5" customHeight="1" x14ac:dyDescent="0.25"/>
    <row r="7" spans="1:6" x14ac:dyDescent="0.25">
      <c r="A7" t="s">
        <v>48</v>
      </c>
      <c r="B7" s="17">
        <f>'Income MAJESTIC'!B36</f>
        <v>4009779.3687915271</v>
      </c>
      <c r="C7" s="17">
        <f>'Income MAJESTIC'!C36</f>
        <v>19273995.96671921</v>
      </c>
      <c r="D7" s="17">
        <f>'Income MAJESTIC'!D36</f>
        <v>27064060.3917192</v>
      </c>
      <c r="E7" s="17">
        <f>'Income MAJESTIC'!E36</f>
        <v>55885554.207010522</v>
      </c>
      <c r="F7" s="17">
        <f>'Income MAJESTIC'!F36</f>
        <v>65026144.353406191</v>
      </c>
    </row>
    <row r="8" spans="1:6" ht="6.75" customHeight="1" x14ac:dyDescent="0.25">
      <c r="B8" s="17"/>
    </row>
    <row r="9" spans="1:6" x14ac:dyDescent="0.25">
      <c r="A9" t="s">
        <v>49</v>
      </c>
    </row>
    <row r="10" spans="1:6" ht="8.25" customHeight="1" x14ac:dyDescent="0.25"/>
    <row r="11" spans="1:6" x14ac:dyDescent="0.25">
      <c r="A11" t="s">
        <v>50</v>
      </c>
      <c r="B11" s="17">
        <f>'Income MAJESTIC'!B34</f>
        <v>255000</v>
      </c>
      <c r="C11" s="17">
        <f>'Income MAJESTIC'!C34</f>
        <v>550000</v>
      </c>
      <c r="D11" s="17">
        <f>'Income MAJESTIC'!D34</f>
        <v>750000</v>
      </c>
      <c r="E11" s="17">
        <f>'Income MAJESTIC'!E34</f>
        <v>1000000</v>
      </c>
      <c r="F11" s="17">
        <f>'Income MAJESTIC'!F34</f>
        <v>1250000</v>
      </c>
    </row>
    <row r="12" spans="1:6" x14ac:dyDescent="0.25">
      <c r="A12" t="s">
        <v>51</v>
      </c>
    </row>
    <row r="13" spans="1:6" x14ac:dyDescent="0.25">
      <c r="A13" t="s">
        <v>52</v>
      </c>
    </row>
    <row r="14" spans="1:6" ht="6.75" customHeight="1" x14ac:dyDescent="0.25"/>
    <row r="15" spans="1:6" x14ac:dyDescent="0.25">
      <c r="A15" s="117" t="s">
        <v>53</v>
      </c>
    </row>
    <row r="16" spans="1:6" ht="6" customHeight="1" x14ac:dyDescent="0.25"/>
    <row r="17" spans="1:8" x14ac:dyDescent="0.25">
      <c r="A17" t="s">
        <v>54</v>
      </c>
    </row>
    <row r="18" spans="1:8" x14ac:dyDescent="0.25">
      <c r="A18" t="s">
        <v>55</v>
      </c>
    </row>
    <row r="19" spans="1:8" x14ac:dyDescent="0.25">
      <c r="A19" t="s">
        <v>56</v>
      </c>
    </row>
    <row r="20" spans="1:8" x14ac:dyDescent="0.25">
      <c r="A20" t="s">
        <v>57</v>
      </c>
    </row>
    <row r="21" spans="1:8" x14ac:dyDescent="0.25">
      <c r="A21" t="s">
        <v>58</v>
      </c>
    </row>
    <row r="22" spans="1:8" x14ac:dyDescent="0.25">
      <c r="A22" t="s">
        <v>59</v>
      </c>
    </row>
    <row r="23" spans="1:8" x14ac:dyDescent="0.25">
      <c r="A23" t="s">
        <v>60</v>
      </c>
    </row>
    <row r="24" spans="1:8" x14ac:dyDescent="0.25">
      <c r="A24" t="s">
        <v>61</v>
      </c>
    </row>
    <row r="25" spans="1:8" ht="4.5" customHeight="1" x14ac:dyDescent="0.25"/>
    <row r="26" spans="1:8" ht="15.75" x14ac:dyDescent="0.25">
      <c r="A26" s="115" t="s">
        <v>62</v>
      </c>
      <c r="B26" s="118">
        <f>B7+B11+B12+B13-B17+B18-B19+B20+B21-B22-B23+B24</f>
        <v>4264779.3687915271</v>
      </c>
      <c r="C26" s="118">
        <f>C3+C7+C11+C12+C13-C17+C18-C19+C20+C21-C22-C23+C24</f>
        <v>23058784.65810807</v>
      </c>
      <c r="D26" s="118">
        <f>D3+D7+D11+D12+D13-D17+D18-D19+D20+D21-D22-D23+D24</f>
        <v>49217817.567516528</v>
      </c>
      <c r="E26" s="118">
        <f>E3+E7+E11+E12+E13-E17+E18-E19+E20+E21-E22-E23+E24</f>
        <v>103109327.05350307</v>
      </c>
      <c r="F26" s="118">
        <f>F3+F7+F11+F12+F13-F17+F18-F19+F20+F21-F22-F23+F24</f>
        <v>164273483.97937739</v>
      </c>
    </row>
    <row r="28" spans="1:8" ht="15.75" x14ac:dyDescent="0.25">
      <c r="A28" s="119" t="s">
        <v>63</v>
      </c>
      <c r="B28" s="120"/>
      <c r="C28" s="120"/>
      <c r="D28" s="120"/>
      <c r="E28" s="120"/>
      <c r="F28" s="120"/>
    </row>
    <row r="29" spans="1:8" ht="4.5" customHeight="1" x14ac:dyDescent="0.25"/>
    <row r="30" spans="1:8" x14ac:dyDescent="0.25">
      <c r="A30" t="s">
        <v>64</v>
      </c>
      <c r="B30" s="17">
        <f>'loan 1Majestic'!C1*-1</f>
        <v>-55000000</v>
      </c>
      <c r="C30" s="17">
        <f>'loan 1Majestic'!I1*-1</f>
        <v>-25000000</v>
      </c>
      <c r="D30" s="17">
        <f>'loan 1Majestic'!O1*-1</f>
        <v>-50000000</v>
      </c>
      <c r="E30" s="51">
        <f>'loan 1Majestic'!U1*-1</f>
        <v>-70000000</v>
      </c>
      <c r="F30" s="51">
        <f>'loan 1Majestic'!AA1*-1</f>
        <v>-20000000</v>
      </c>
      <c r="H30" s="17">
        <f>SUM(B30:G30)</f>
        <v>-220000000</v>
      </c>
    </row>
    <row r="32" spans="1:8" ht="15.75" x14ac:dyDescent="0.25">
      <c r="A32" s="119" t="s">
        <v>65</v>
      </c>
      <c r="B32" s="121">
        <f>B30</f>
        <v>-55000000</v>
      </c>
      <c r="C32" s="121">
        <f>C30</f>
        <v>-25000000</v>
      </c>
      <c r="D32" s="121">
        <f>D30</f>
        <v>-50000000</v>
      </c>
      <c r="E32" s="121">
        <f>E30</f>
        <v>-70000000</v>
      </c>
      <c r="F32" s="121">
        <f>F30</f>
        <v>-20000000</v>
      </c>
    </row>
    <row r="34" spans="1:6" ht="15.75" x14ac:dyDescent="0.25">
      <c r="A34" s="122" t="s">
        <v>66</v>
      </c>
      <c r="B34" s="46"/>
      <c r="C34" s="46"/>
      <c r="D34" s="46"/>
      <c r="E34" s="46"/>
      <c r="F34" s="46"/>
    </row>
    <row r="35" spans="1:6" ht="4.5" customHeight="1" x14ac:dyDescent="0.25">
      <c r="A35" s="114"/>
    </row>
    <row r="36" spans="1:6" x14ac:dyDescent="0.25">
      <c r="A36" t="s">
        <v>67</v>
      </c>
      <c r="B36" s="17">
        <f>'loan 1Majestic'!C1</f>
        <v>55000000</v>
      </c>
      <c r="C36" s="17">
        <f>'loan 1Majestic'!I1</f>
        <v>25000000</v>
      </c>
      <c r="D36" s="17">
        <f>'loan 1Majestic'!O1</f>
        <v>50000000</v>
      </c>
      <c r="E36" s="51">
        <f>'loan 1Majestic'!U1</f>
        <v>70000000</v>
      </c>
      <c r="F36" s="17">
        <f>'loan 1Majestic'!AA1</f>
        <v>20000000</v>
      </c>
    </row>
    <row r="37" spans="1:6" x14ac:dyDescent="0.25">
      <c r="A37" t="s">
        <v>68</v>
      </c>
      <c r="B37" s="123">
        <f>'loan 1Majestic'!E19*-1</f>
        <v>-1029990.6774026692</v>
      </c>
      <c r="C37" s="123">
        <f>('loan 1Majestic'!E31+'loan 1Majestic'!K19)*-1</f>
        <v>-1655027.4823107417</v>
      </c>
      <c r="D37" s="123">
        <f>('loan 1Majestic'!E43+'loan 1Majestic'!K31+'loan 1Majestic'!Q19)*-1</f>
        <v>-2994044.721023974</v>
      </c>
      <c r="E37" s="123">
        <f>('loan 1Majestic'!E55+'loan 1Majestic'!K43+'loan 1Majestic'!Q31+'loan 1Majestic'!W19)*-1</f>
        <v>-5111987.4275318785</v>
      </c>
      <c r="F37" s="123">
        <f>('loan 1Majestic'!E67+'loan 1Majestic'!K55+'loan 1Majestic'!Q43+'loan 1Majestic'!W31+'loan 1Majestic'!AC19)*-1</f>
        <v>-6031300.114275136</v>
      </c>
    </row>
    <row r="38" spans="1:6" x14ac:dyDescent="0.25">
      <c r="A38" t="s">
        <v>69</v>
      </c>
      <c r="B38" s="17"/>
      <c r="C38" s="17"/>
      <c r="D38" s="17"/>
    </row>
    <row r="39" spans="1:6" x14ac:dyDescent="0.25">
      <c r="A39" t="s">
        <v>70</v>
      </c>
    </row>
    <row r="40" spans="1:6" x14ac:dyDescent="0.25">
      <c r="A40" t="s">
        <v>71</v>
      </c>
    </row>
    <row r="41" spans="1:6" ht="4.5" customHeight="1" x14ac:dyDescent="0.25"/>
    <row r="42" spans="1:6" x14ac:dyDescent="0.25">
      <c r="A42" s="124" t="s">
        <v>72</v>
      </c>
      <c r="B42" s="125">
        <f>SUM(B36:B41)</f>
        <v>53970009.322597332</v>
      </c>
      <c r="C42" s="125">
        <f>SUM(C36:C41)</f>
        <v>23344972.517689258</v>
      </c>
      <c r="D42" s="125">
        <f>SUM(D36:D41)</f>
        <v>47005955.278976023</v>
      </c>
      <c r="E42" s="125">
        <f>SUM(E36:E41)</f>
        <v>64888012.572468124</v>
      </c>
      <c r="F42" s="125">
        <f>SUM(F36:F41)</f>
        <v>13968699.885724865</v>
      </c>
    </row>
    <row r="44" spans="1:6" ht="15.75" x14ac:dyDescent="0.25">
      <c r="A44" s="126" t="s">
        <v>73</v>
      </c>
      <c r="B44" s="127">
        <f>B26+B32+B42</f>
        <v>3234788.6913888603</v>
      </c>
      <c r="C44" s="127">
        <f>C26+C32+C42</f>
        <v>21403757.175797328</v>
      </c>
      <c r="D44" s="127">
        <f>D26+D32+D42</f>
        <v>46223772.846492551</v>
      </c>
      <c r="E44" s="127">
        <f>E26+E32+E42</f>
        <v>97997339.625971198</v>
      </c>
      <c r="F44" s="127">
        <f>F26+F32+F42</f>
        <v>158242183.86510226</v>
      </c>
    </row>
  </sheetData>
  <mergeCells count="1">
    <mergeCell ref="A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4837E-7E5C-4EC4-8ECB-B7E4EEB57F1D}">
  <sheetPr>
    <tabColor theme="3" tint="0.249977111117893"/>
  </sheetPr>
  <dimension ref="A1:AI69"/>
  <sheetViews>
    <sheetView topLeftCell="E1" zoomScale="80" zoomScaleNormal="80" workbookViewId="0">
      <selection activeCell="AG2" sqref="AG2"/>
    </sheetView>
  </sheetViews>
  <sheetFormatPr defaultRowHeight="15" x14ac:dyDescent="0.25"/>
  <cols>
    <col min="1" max="1" width="3" bestFit="1" customWidth="1"/>
    <col min="2" max="2" width="15.28515625" bestFit="1" customWidth="1"/>
    <col min="3" max="3" width="16.42578125" customWidth="1"/>
    <col min="4" max="4" width="14.5703125" bestFit="1" customWidth="1"/>
    <col min="5" max="5" width="14.28515625" bestFit="1" customWidth="1"/>
    <col min="6" max="6" width="4.42578125" customWidth="1"/>
    <col min="7" max="7" width="3" bestFit="1" customWidth="1"/>
    <col min="8" max="8" width="15.28515625" bestFit="1" customWidth="1"/>
    <col min="9" max="9" width="16.28515625" bestFit="1" customWidth="1"/>
    <col min="10" max="10" width="11.85546875" bestFit="1" customWidth="1"/>
    <col min="11" max="11" width="14.28515625" bestFit="1" customWidth="1"/>
    <col min="12" max="12" width="2.42578125" customWidth="1"/>
    <col min="13" max="13" width="3" bestFit="1" customWidth="1"/>
    <col min="14" max="14" width="16.140625" bestFit="1" customWidth="1"/>
    <col min="15" max="15" width="16.28515625" bestFit="1" customWidth="1"/>
    <col min="16" max="16" width="12.7109375" bestFit="1" customWidth="1"/>
    <col min="17" max="17" width="14.28515625" bestFit="1" customWidth="1"/>
    <col min="18" max="18" width="1.42578125" customWidth="1"/>
    <col min="19" max="19" width="3" bestFit="1" customWidth="1"/>
    <col min="20" max="20" width="16.140625" bestFit="1" customWidth="1"/>
    <col min="21" max="21" width="16.28515625" bestFit="1" customWidth="1"/>
    <col min="22" max="22" width="12.7109375" bestFit="1" customWidth="1"/>
    <col min="23" max="23" width="14.28515625" bestFit="1" customWidth="1"/>
    <col min="24" max="24" width="1.42578125" customWidth="1"/>
    <col min="25" max="25" width="3" bestFit="1" customWidth="1"/>
    <col min="26" max="26" width="16.140625" bestFit="1" customWidth="1"/>
    <col min="27" max="27" width="16.28515625" bestFit="1" customWidth="1"/>
    <col min="28" max="28" width="11.85546875" bestFit="1" customWidth="1"/>
    <col min="29" max="29" width="14.28515625" bestFit="1" customWidth="1"/>
    <col min="30" max="30" width="2.28515625" customWidth="1"/>
    <col min="31" max="31" width="3" bestFit="1" customWidth="1"/>
    <col min="32" max="32" width="16.140625" bestFit="1" customWidth="1"/>
    <col min="33" max="33" width="16.28515625" bestFit="1" customWidth="1"/>
    <col min="34" max="34" width="12.7109375" bestFit="1" customWidth="1"/>
    <col min="35" max="35" width="15.140625" bestFit="1" customWidth="1"/>
  </cols>
  <sheetData>
    <row r="1" spans="1:34" x14ac:dyDescent="0.25">
      <c r="B1" t="s">
        <v>79</v>
      </c>
      <c r="C1" s="10">
        <v>55000000</v>
      </c>
      <c r="H1" t="s">
        <v>79</v>
      </c>
      <c r="I1" s="10">
        <v>25000000</v>
      </c>
      <c r="N1" t="s">
        <v>79</v>
      </c>
      <c r="O1" s="10">
        <v>50000000</v>
      </c>
      <c r="T1" t="s">
        <v>79</v>
      </c>
      <c r="U1" s="10">
        <v>70000000</v>
      </c>
      <c r="Z1" t="s">
        <v>79</v>
      </c>
      <c r="AA1" s="10">
        <v>20000000</v>
      </c>
      <c r="AF1" t="s">
        <v>79</v>
      </c>
      <c r="AG1" s="10">
        <v>40000000</v>
      </c>
    </row>
    <row r="2" spans="1:34" x14ac:dyDescent="0.25">
      <c r="B2" t="s">
        <v>80</v>
      </c>
      <c r="C2" s="2">
        <v>240</v>
      </c>
      <c r="H2" t="s">
        <v>80</v>
      </c>
      <c r="I2" s="2">
        <v>240</v>
      </c>
      <c r="N2" t="s">
        <v>80</v>
      </c>
      <c r="O2" s="2">
        <v>240</v>
      </c>
      <c r="T2" t="s">
        <v>80</v>
      </c>
      <c r="U2" s="2">
        <v>240</v>
      </c>
      <c r="Z2" t="s">
        <v>80</v>
      </c>
      <c r="AA2" s="2">
        <v>240</v>
      </c>
      <c r="AF2" t="s">
        <v>80</v>
      </c>
      <c r="AG2" s="2">
        <v>96</v>
      </c>
    </row>
    <row r="3" spans="1:34" x14ac:dyDescent="0.25">
      <c r="B3" t="s">
        <v>81</v>
      </c>
      <c r="C3">
        <v>0.09</v>
      </c>
      <c r="H3" t="s">
        <v>81</v>
      </c>
      <c r="I3">
        <v>0.08</v>
      </c>
      <c r="N3" t="s">
        <v>81</v>
      </c>
      <c r="O3">
        <v>7.0000000000000007E-2</v>
      </c>
      <c r="T3" t="s">
        <v>81</v>
      </c>
      <c r="U3">
        <v>0.06</v>
      </c>
      <c r="Z3" t="s">
        <v>81</v>
      </c>
      <c r="AA3">
        <v>0.06</v>
      </c>
      <c r="AF3" t="s">
        <v>81</v>
      </c>
      <c r="AG3">
        <v>0.09</v>
      </c>
    </row>
    <row r="4" spans="1:34" x14ac:dyDescent="0.25">
      <c r="B4" t="s">
        <v>82</v>
      </c>
      <c r="C4" s="39">
        <f>PMT(C3/12,C2,-(C1))</f>
        <v>494849.27571759518</v>
      </c>
      <c r="H4" t="s">
        <v>82</v>
      </c>
      <c r="I4" s="39">
        <f>PMT(I3/12,I2,-(I1))</f>
        <v>209110.01724836571</v>
      </c>
      <c r="N4" t="s">
        <v>82</v>
      </c>
      <c r="O4" s="39">
        <f>PMT(O3/12,O2,-(O1))</f>
        <v>387649.46780943731</v>
      </c>
      <c r="T4" t="s">
        <v>82</v>
      </c>
      <c r="U4" s="39">
        <f>PMT(U3/12,U2,-(U1))</f>
        <v>501501.74093471537</v>
      </c>
      <c r="Z4" t="s">
        <v>82</v>
      </c>
      <c r="AA4" s="39">
        <f>PMT(AA3/12,AA2,-(AA1))</f>
        <v>143286.21169563296</v>
      </c>
      <c r="AF4" t="s">
        <v>82</v>
      </c>
      <c r="AG4" s="39">
        <f>PMT(AG3/12,AG2,-(AG1))</f>
        <v>586008.13094771875</v>
      </c>
    </row>
    <row r="5" spans="1:34" x14ac:dyDescent="0.25">
      <c r="B5" s="39"/>
    </row>
    <row r="6" spans="1:34" x14ac:dyDescent="0.25">
      <c r="A6">
        <v>0</v>
      </c>
      <c r="B6" t="s">
        <v>83</v>
      </c>
      <c r="C6" t="s">
        <v>84</v>
      </c>
      <c r="D6" t="s">
        <v>85</v>
      </c>
      <c r="G6">
        <v>0</v>
      </c>
      <c r="H6" t="s">
        <v>83</v>
      </c>
      <c r="I6" t="s">
        <v>84</v>
      </c>
      <c r="J6" t="s">
        <v>85</v>
      </c>
      <c r="M6">
        <v>0</v>
      </c>
      <c r="N6" t="s">
        <v>83</v>
      </c>
      <c r="O6" t="s">
        <v>84</v>
      </c>
      <c r="P6" t="s">
        <v>85</v>
      </c>
      <c r="S6">
        <v>0</v>
      </c>
      <c r="T6" t="s">
        <v>83</v>
      </c>
      <c r="U6" t="s">
        <v>84</v>
      </c>
      <c r="V6" t="s">
        <v>85</v>
      </c>
      <c r="Y6">
        <v>0</v>
      </c>
      <c r="Z6" t="s">
        <v>83</v>
      </c>
      <c r="AA6" t="s">
        <v>84</v>
      </c>
      <c r="AB6" t="s">
        <v>85</v>
      </c>
      <c r="AE6">
        <v>0</v>
      </c>
      <c r="AF6" t="s">
        <v>83</v>
      </c>
      <c r="AG6" t="s">
        <v>84</v>
      </c>
      <c r="AH6" t="s">
        <v>85</v>
      </c>
    </row>
    <row r="7" spans="1:34" x14ac:dyDescent="0.25">
      <c r="A7">
        <v>1</v>
      </c>
      <c r="B7" s="39">
        <f t="shared" ref="B7:B38" si="0">$C$4</f>
        <v>494849.27571759518</v>
      </c>
      <c r="C7" s="39">
        <f t="shared" ref="C7:C38" si="1">IPMT($C$3/12,A7,$C$2,($C$1))</f>
        <v>-412500</v>
      </c>
      <c r="D7" s="39">
        <f>B7+C7</f>
        <v>82349.275717595185</v>
      </c>
      <c r="G7">
        <v>1</v>
      </c>
      <c r="H7" s="39">
        <f t="shared" ref="H7:H38" si="2">$I$4</f>
        <v>209110.01724836571</v>
      </c>
      <c r="I7" s="39">
        <f>IPMT($I$3/12,G7,$I$2,($I$1))</f>
        <v>-166666.66666666669</v>
      </c>
      <c r="J7" s="39">
        <f>H7+I7</f>
        <v>42443.350581699022</v>
      </c>
      <c r="M7">
        <v>1</v>
      </c>
      <c r="N7" s="39">
        <f>$O$4</f>
        <v>387649.46780943731</v>
      </c>
      <c r="O7" s="39">
        <f>IPMT($O$3/12,M7,$O$2,($O$1))</f>
        <v>-291666.66666666669</v>
      </c>
      <c r="P7" s="39">
        <f>N7+O7</f>
        <v>95982.801142770622</v>
      </c>
      <c r="S7">
        <v>1</v>
      </c>
      <c r="T7" s="39">
        <f>$U$4</f>
        <v>501501.74093471537</v>
      </c>
      <c r="U7" s="39">
        <f>IPMT($U$3/12,S7,$U$2,($U$1))</f>
        <v>-350000</v>
      </c>
      <c r="V7" s="39">
        <f>T7+U7</f>
        <v>151501.74093471537</v>
      </c>
      <c r="Y7">
        <v>1</v>
      </c>
      <c r="Z7" s="39">
        <f>$AA$4</f>
        <v>143286.21169563296</v>
      </c>
      <c r="AA7" s="39">
        <f>IPMT($AA$3/12,Y7,$AA$2,($AA$1))</f>
        <v>-100000</v>
      </c>
      <c r="AB7" s="39">
        <f>Z7+AA7</f>
        <v>43286.211695632956</v>
      </c>
      <c r="AE7">
        <v>1</v>
      </c>
      <c r="AF7" s="39">
        <f>$AG$4</f>
        <v>586008.13094771875</v>
      </c>
      <c r="AG7" s="39">
        <f>IPMT($AG$3/12,AE7,$AG$2,($AG$1))</f>
        <v>-300000</v>
      </c>
      <c r="AH7" s="39">
        <f>AF7+AG7</f>
        <v>286008.13094771875</v>
      </c>
    </row>
    <row r="8" spans="1:34" x14ac:dyDescent="0.25">
      <c r="A8">
        <v>2</v>
      </c>
      <c r="B8" s="39">
        <f t="shared" si="0"/>
        <v>494849.27571759518</v>
      </c>
      <c r="C8" s="39">
        <f t="shared" si="1"/>
        <v>-411882.38043211802</v>
      </c>
      <c r="D8" s="39">
        <f t="shared" ref="D8:D66" si="3">B8+C8</f>
        <v>82966.895285477163</v>
      </c>
      <c r="G8">
        <v>2</v>
      </c>
      <c r="H8" s="39">
        <f t="shared" si="2"/>
        <v>209110.01724836571</v>
      </c>
      <c r="I8" s="39">
        <f t="shared" ref="I8:I66" si="4">IPMT($I$3/12,G8,$I$2,($I$1))</f>
        <v>-166383.71099612201</v>
      </c>
      <c r="J8" s="39">
        <f t="shared" ref="J8:J66" si="5">H8+I8</f>
        <v>42726.306252243696</v>
      </c>
      <c r="M8">
        <v>2</v>
      </c>
      <c r="N8" s="39">
        <f t="shared" ref="N8:N66" si="6">$O$4</f>
        <v>387649.46780943731</v>
      </c>
      <c r="O8" s="39">
        <f t="shared" ref="O8:O39" si="7">IPMT($O$3/12,G8,$O$2,($O$1))</f>
        <v>-291106.76699333388</v>
      </c>
      <c r="P8" s="39">
        <f t="shared" ref="P8:P66" si="8">N8+O8</f>
        <v>96542.700816103432</v>
      </c>
      <c r="S8">
        <v>2</v>
      </c>
      <c r="T8" s="39">
        <f t="shared" ref="T8:T66" si="9">$U$4</f>
        <v>501501.74093471537</v>
      </c>
      <c r="U8" s="39">
        <f t="shared" ref="U8:U66" si="10">IPMT($U$3/12,S8,$U$2,($U$1))</f>
        <v>-349242.49129532644</v>
      </c>
      <c r="V8" s="39">
        <f t="shared" ref="V8:V66" si="11">T8+U8</f>
        <v>152259.24963938893</v>
      </c>
      <c r="Y8">
        <v>2</v>
      </c>
      <c r="Z8" s="39">
        <f t="shared" ref="Z8:Z66" si="12">$AA$4</f>
        <v>143286.21169563296</v>
      </c>
      <c r="AA8" s="39">
        <f t="shared" ref="AA8:AA66" si="13">IPMT($AA$3/12,Y8,$AA$2,($AA$1))</f>
        <v>-99783.568941521837</v>
      </c>
      <c r="AB8" s="39">
        <f t="shared" ref="AB8:AB66" si="14">Z8+AA8</f>
        <v>43502.642754111119</v>
      </c>
      <c r="AE8">
        <v>2</v>
      </c>
      <c r="AF8" s="39">
        <f t="shared" ref="AF8:AF66" si="15">$AG$4</f>
        <v>586008.13094771875</v>
      </c>
      <c r="AG8" s="39">
        <f t="shared" ref="AG8:AG66" si="16">IPMT($AG$3/12,AE8,$AG$2,($AG$1))</f>
        <v>-297854.93901789212</v>
      </c>
      <c r="AH8" s="39">
        <f t="shared" ref="AH8:AH66" si="17">AF8+AG8</f>
        <v>288153.19192982663</v>
      </c>
    </row>
    <row r="9" spans="1:34" x14ac:dyDescent="0.25">
      <c r="A9">
        <v>3</v>
      </c>
      <c r="B9" s="39">
        <f t="shared" si="0"/>
        <v>494849.27571759518</v>
      </c>
      <c r="C9" s="39">
        <f t="shared" si="1"/>
        <v>-411260.12871747691</v>
      </c>
      <c r="D9" s="39">
        <f t="shared" si="3"/>
        <v>83589.147000118275</v>
      </c>
      <c r="G9">
        <v>3</v>
      </c>
      <c r="H9" s="39">
        <f t="shared" si="2"/>
        <v>209110.01724836571</v>
      </c>
      <c r="I9" s="39">
        <f t="shared" si="4"/>
        <v>-166098.86895444038</v>
      </c>
      <c r="J9" s="39">
        <f t="shared" si="5"/>
        <v>43011.148293925333</v>
      </c>
      <c r="M9">
        <v>3</v>
      </c>
      <c r="N9" s="39">
        <f t="shared" si="6"/>
        <v>387649.46780943731</v>
      </c>
      <c r="O9" s="39">
        <f t="shared" si="7"/>
        <v>-290543.60123857326</v>
      </c>
      <c r="P9" s="39">
        <f t="shared" si="8"/>
        <v>97105.866570864047</v>
      </c>
      <c r="S9">
        <v>3</v>
      </c>
      <c r="T9" s="39">
        <f t="shared" si="9"/>
        <v>501501.74093471537</v>
      </c>
      <c r="U9" s="39">
        <f t="shared" si="10"/>
        <v>-348481.19504712947</v>
      </c>
      <c r="V9" s="39">
        <f t="shared" si="11"/>
        <v>153020.5458875859</v>
      </c>
      <c r="Y9">
        <v>3</v>
      </c>
      <c r="Z9" s="39">
        <f t="shared" si="12"/>
        <v>143286.21169563296</v>
      </c>
      <c r="AA9" s="39">
        <f t="shared" si="13"/>
        <v>-99566.055727751271</v>
      </c>
      <c r="AB9" s="39">
        <f t="shared" si="14"/>
        <v>43720.155967881685</v>
      </c>
      <c r="AE9">
        <v>3</v>
      </c>
      <c r="AF9" s="39">
        <f t="shared" si="15"/>
        <v>586008.13094771875</v>
      </c>
      <c r="AG9" s="39">
        <f t="shared" si="16"/>
        <v>-295693.79007841845</v>
      </c>
      <c r="AH9" s="39">
        <f t="shared" si="17"/>
        <v>290314.3408693003</v>
      </c>
    </row>
    <row r="10" spans="1:34" x14ac:dyDescent="0.25">
      <c r="A10">
        <v>4</v>
      </c>
      <c r="B10" s="39">
        <f t="shared" si="0"/>
        <v>494849.27571759518</v>
      </c>
      <c r="C10" s="39">
        <f t="shared" si="1"/>
        <v>-410633.2101149761</v>
      </c>
      <c r="D10" s="39">
        <f t="shared" si="3"/>
        <v>84216.065602619085</v>
      </c>
      <c r="G10">
        <v>4</v>
      </c>
      <c r="H10" s="39">
        <f t="shared" si="2"/>
        <v>209110.01724836571</v>
      </c>
      <c r="I10" s="39">
        <f t="shared" si="4"/>
        <v>-165812.12796581423</v>
      </c>
      <c r="J10" s="39">
        <f t="shared" si="5"/>
        <v>43297.889282551478</v>
      </c>
      <c r="M10">
        <v>4</v>
      </c>
      <c r="N10" s="39">
        <f t="shared" si="6"/>
        <v>387649.46780943731</v>
      </c>
      <c r="O10" s="39">
        <f t="shared" si="7"/>
        <v>-289977.15035024326</v>
      </c>
      <c r="P10" s="39">
        <f t="shared" si="8"/>
        <v>97672.317459194048</v>
      </c>
      <c r="S10">
        <v>4</v>
      </c>
      <c r="T10" s="39">
        <f t="shared" si="9"/>
        <v>501501.74093471537</v>
      </c>
      <c r="U10" s="39">
        <f t="shared" si="10"/>
        <v>-347716.09231769154</v>
      </c>
      <c r="V10" s="39">
        <f t="shared" si="11"/>
        <v>153785.64861702383</v>
      </c>
      <c r="Y10">
        <v>4</v>
      </c>
      <c r="Z10" s="39">
        <f t="shared" si="12"/>
        <v>143286.21169563296</v>
      </c>
      <c r="AA10" s="39">
        <f t="shared" si="13"/>
        <v>-99347.454947911858</v>
      </c>
      <c r="AB10" s="39">
        <f t="shared" si="14"/>
        <v>43938.756747721098</v>
      </c>
      <c r="AE10">
        <v>4</v>
      </c>
      <c r="AF10" s="39">
        <f t="shared" si="15"/>
        <v>586008.13094771875</v>
      </c>
      <c r="AG10" s="39">
        <f t="shared" si="16"/>
        <v>-293516.43252189871</v>
      </c>
      <c r="AH10" s="39">
        <f t="shared" si="17"/>
        <v>292491.69842582004</v>
      </c>
    </row>
    <row r="11" spans="1:34" x14ac:dyDescent="0.25">
      <c r="A11">
        <v>5</v>
      </c>
      <c r="B11" s="39">
        <f t="shared" si="0"/>
        <v>494849.27571759518</v>
      </c>
      <c r="C11" s="39">
        <f t="shared" si="1"/>
        <v>-410001.58962295641</v>
      </c>
      <c r="D11" s="39">
        <f t="shared" si="3"/>
        <v>84847.686094638775</v>
      </c>
      <c r="G11">
        <v>5</v>
      </c>
      <c r="H11" s="39">
        <f t="shared" si="2"/>
        <v>209110.01724836571</v>
      </c>
      <c r="I11" s="39">
        <f t="shared" si="4"/>
        <v>-165523.47537059721</v>
      </c>
      <c r="J11" s="39">
        <f t="shared" si="5"/>
        <v>43586.541877768497</v>
      </c>
      <c r="M11">
        <v>5</v>
      </c>
      <c r="N11" s="39">
        <f t="shared" si="6"/>
        <v>387649.46780943731</v>
      </c>
      <c r="O11" s="39">
        <f t="shared" si="7"/>
        <v>-289407.3951650646</v>
      </c>
      <c r="P11" s="39">
        <f t="shared" si="8"/>
        <v>98242.072644372704</v>
      </c>
      <c r="S11">
        <v>5</v>
      </c>
      <c r="T11" s="39">
        <f t="shared" si="9"/>
        <v>501501.74093471537</v>
      </c>
      <c r="U11" s="39">
        <f t="shared" si="10"/>
        <v>-346947.16407460644</v>
      </c>
      <c r="V11" s="39">
        <f t="shared" si="11"/>
        <v>154554.57686010894</v>
      </c>
      <c r="Y11">
        <v>5</v>
      </c>
      <c r="Z11" s="39">
        <f t="shared" si="12"/>
        <v>143286.21169563296</v>
      </c>
      <c r="AA11" s="39">
        <f t="shared" si="13"/>
        <v>-99127.761164173266</v>
      </c>
      <c r="AB11" s="39">
        <f t="shared" si="14"/>
        <v>44158.45053145969</v>
      </c>
      <c r="AE11">
        <v>5</v>
      </c>
      <c r="AF11" s="39">
        <f t="shared" si="15"/>
        <v>586008.13094771875</v>
      </c>
      <c r="AG11" s="39">
        <f t="shared" si="16"/>
        <v>-291322.74478370498</v>
      </c>
      <c r="AH11" s="39">
        <f t="shared" si="17"/>
        <v>294685.38616401376</v>
      </c>
    </row>
    <row r="12" spans="1:34" x14ac:dyDescent="0.25">
      <c r="A12">
        <v>6</v>
      </c>
      <c r="B12" s="39">
        <f t="shared" si="0"/>
        <v>494849.27571759518</v>
      </c>
      <c r="C12" s="39">
        <f t="shared" si="1"/>
        <v>-409365.23197724664</v>
      </c>
      <c r="D12" s="39">
        <f t="shared" si="3"/>
        <v>85484.043740348541</v>
      </c>
      <c r="G12">
        <v>6</v>
      </c>
      <c r="H12" s="39">
        <f t="shared" si="2"/>
        <v>209110.01724836571</v>
      </c>
      <c r="I12" s="39">
        <f t="shared" si="4"/>
        <v>-165232.89842474542</v>
      </c>
      <c r="J12" s="39">
        <f t="shared" si="5"/>
        <v>43877.118823620287</v>
      </c>
      <c r="M12">
        <v>6</v>
      </c>
      <c r="N12" s="39">
        <f t="shared" si="6"/>
        <v>387649.46780943731</v>
      </c>
      <c r="O12" s="39">
        <f t="shared" si="7"/>
        <v>-288834.31640797242</v>
      </c>
      <c r="P12" s="39">
        <f t="shared" si="8"/>
        <v>98815.151401464886</v>
      </c>
      <c r="S12">
        <v>6</v>
      </c>
      <c r="T12" s="39">
        <f t="shared" si="9"/>
        <v>501501.74093471537</v>
      </c>
      <c r="U12" s="39">
        <f t="shared" si="10"/>
        <v>-346174.39119030588</v>
      </c>
      <c r="V12" s="39">
        <f t="shared" si="11"/>
        <v>155327.3497444095</v>
      </c>
      <c r="Y12">
        <v>6</v>
      </c>
      <c r="Z12" s="39">
        <f t="shared" si="12"/>
        <v>143286.21169563296</v>
      </c>
      <c r="AA12" s="39">
        <f t="shared" si="13"/>
        <v>-98906.968911515956</v>
      </c>
      <c r="AB12" s="39">
        <f t="shared" si="14"/>
        <v>44379.242784116999</v>
      </c>
      <c r="AE12">
        <v>6</v>
      </c>
      <c r="AF12" s="39">
        <f t="shared" si="15"/>
        <v>586008.13094771875</v>
      </c>
      <c r="AG12" s="39">
        <f t="shared" si="16"/>
        <v>-289112.60438747494</v>
      </c>
      <c r="AH12" s="39">
        <f t="shared" si="17"/>
        <v>296895.5265602438</v>
      </c>
    </row>
    <row r="13" spans="1:34" x14ac:dyDescent="0.25">
      <c r="A13">
        <v>7</v>
      </c>
      <c r="B13" s="39">
        <f t="shared" si="0"/>
        <v>494849.27571759518</v>
      </c>
      <c r="C13" s="39">
        <f t="shared" si="1"/>
        <v>-408724.10164919408</v>
      </c>
      <c r="D13" s="39">
        <f t="shared" si="3"/>
        <v>86125.174068401102</v>
      </c>
      <c r="G13">
        <v>7</v>
      </c>
      <c r="H13" s="39">
        <f t="shared" si="2"/>
        <v>209110.01724836571</v>
      </c>
      <c r="I13" s="39">
        <f t="shared" si="4"/>
        <v>-164940.38429925463</v>
      </c>
      <c r="J13" s="39">
        <f t="shared" si="5"/>
        <v>44169.632949111081</v>
      </c>
      <c r="M13">
        <v>7</v>
      </c>
      <c r="N13" s="39">
        <f t="shared" si="6"/>
        <v>387649.46780943731</v>
      </c>
      <c r="O13" s="39">
        <f t="shared" si="7"/>
        <v>-288257.89469146391</v>
      </c>
      <c r="P13" s="39">
        <f t="shared" si="8"/>
        <v>99391.573117973399</v>
      </c>
      <c r="S13">
        <v>7</v>
      </c>
      <c r="T13" s="39">
        <f t="shared" si="9"/>
        <v>501501.74093471537</v>
      </c>
      <c r="U13" s="39">
        <f t="shared" si="10"/>
        <v>-345397.75444158382</v>
      </c>
      <c r="V13" s="39">
        <f t="shared" si="11"/>
        <v>156103.98649313155</v>
      </c>
      <c r="Y13">
        <v>7</v>
      </c>
      <c r="Z13" s="39">
        <f t="shared" si="12"/>
        <v>143286.21169563296</v>
      </c>
      <c r="AA13" s="39">
        <f t="shared" si="13"/>
        <v>-98685.072697595373</v>
      </c>
      <c r="AB13" s="39">
        <f t="shared" si="14"/>
        <v>44601.138998037582</v>
      </c>
      <c r="AE13">
        <v>7</v>
      </c>
      <c r="AF13" s="39">
        <f t="shared" si="15"/>
        <v>586008.13094771875</v>
      </c>
      <c r="AG13" s="39">
        <f t="shared" si="16"/>
        <v>-286885.88793827308</v>
      </c>
      <c r="AH13" s="39">
        <f t="shared" si="17"/>
        <v>299122.24300944566</v>
      </c>
    </row>
    <row r="14" spans="1:34" x14ac:dyDescent="0.25">
      <c r="A14">
        <v>8</v>
      </c>
      <c r="B14" s="39">
        <f t="shared" si="0"/>
        <v>494849.27571759518</v>
      </c>
      <c r="C14" s="39">
        <f t="shared" si="1"/>
        <v>-408078.162843681</v>
      </c>
      <c r="D14" s="39">
        <f t="shared" si="3"/>
        <v>86771.112873914186</v>
      </c>
      <c r="G14">
        <v>8</v>
      </c>
      <c r="H14" s="39">
        <f t="shared" si="2"/>
        <v>209110.01724836571</v>
      </c>
      <c r="I14" s="39">
        <f t="shared" si="4"/>
        <v>-164645.9200795939</v>
      </c>
      <c r="J14" s="39">
        <f t="shared" si="5"/>
        <v>44464.097168771812</v>
      </c>
      <c r="M14">
        <v>8</v>
      </c>
      <c r="N14" s="39">
        <f t="shared" si="6"/>
        <v>387649.46780943731</v>
      </c>
      <c r="O14" s="39">
        <f t="shared" si="7"/>
        <v>-287678.11051494238</v>
      </c>
      <c r="P14" s="39">
        <f t="shared" si="8"/>
        <v>99971.357294494926</v>
      </c>
      <c r="S14">
        <v>8</v>
      </c>
      <c r="T14" s="39">
        <f t="shared" si="9"/>
        <v>501501.74093471537</v>
      </c>
      <c r="U14" s="39">
        <f t="shared" si="10"/>
        <v>-344617.23450911813</v>
      </c>
      <c r="V14" s="39">
        <f t="shared" si="11"/>
        <v>156884.50642559724</v>
      </c>
      <c r="Y14">
        <v>8</v>
      </c>
      <c r="Z14" s="39">
        <f t="shared" si="12"/>
        <v>143286.21169563296</v>
      </c>
      <c r="AA14" s="39">
        <f t="shared" si="13"/>
        <v>-98462.067002605181</v>
      </c>
      <c r="AB14" s="39">
        <f t="shared" si="14"/>
        <v>44824.144693027774</v>
      </c>
      <c r="AE14">
        <v>8</v>
      </c>
      <c r="AF14" s="39">
        <f t="shared" si="15"/>
        <v>586008.13094771875</v>
      </c>
      <c r="AG14" s="39">
        <f t="shared" si="16"/>
        <v>-284642.4711157023</v>
      </c>
      <c r="AH14" s="39">
        <f t="shared" si="17"/>
        <v>301365.65983201645</v>
      </c>
    </row>
    <row r="15" spans="1:34" x14ac:dyDescent="0.25">
      <c r="A15">
        <v>9</v>
      </c>
      <c r="B15" s="39">
        <f t="shared" si="0"/>
        <v>494849.27571759518</v>
      </c>
      <c r="C15" s="39">
        <f t="shared" si="1"/>
        <v>-407427.37949712668</v>
      </c>
      <c r="D15" s="39">
        <f t="shared" si="3"/>
        <v>87421.896220468509</v>
      </c>
      <c r="G15">
        <v>9</v>
      </c>
      <c r="H15" s="39">
        <f t="shared" si="2"/>
        <v>209110.01724836571</v>
      </c>
      <c r="I15" s="39">
        <f t="shared" si="4"/>
        <v>-164349.49276513536</v>
      </c>
      <c r="J15" s="39">
        <f t="shared" si="5"/>
        <v>44760.524483230343</v>
      </c>
      <c r="M15">
        <v>9</v>
      </c>
      <c r="N15" s="39">
        <f t="shared" si="6"/>
        <v>387649.46780943731</v>
      </c>
      <c r="O15" s="39">
        <f t="shared" si="7"/>
        <v>-287094.94426405785</v>
      </c>
      <c r="P15" s="39">
        <f t="shared" si="8"/>
        <v>100554.52354537946</v>
      </c>
      <c r="S15">
        <v>9</v>
      </c>
      <c r="T15" s="39">
        <f t="shared" si="9"/>
        <v>501501.74093471537</v>
      </c>
      <c r="U15" s="39">
        <f t="shared" si="10"/>
        <v>-343832.8119769902</v>
      </c>
      <c r="V15" s="39">
        <f t="shared" si="11"/>
        <v>157668.92895772518</v>
      </c>
      <c r="Y15">
        <v>9</v>
      </c>
      <c r="Z15" s="39">
        <f t="shared" si="12"/>
        <v>143286.21169563296</v>
      </c>
      <c r="AA15" s="39">
        <f t="shared" si="13"/>
        <v>-98237.946279140044</v>
      </c>
      <c r="AB15" s="39">
        <f t="shared" si="14"/>
        <v>45048.265416492912</v>
      </c>
      <c r="AE15">
        <v>9</v>
      </c>
      <c r="AF15" s="39">
        <f t="shared" si="15"/>
        <v>586008.13094771875</v>
      </c>
      <c r="AG15" s="39">
        <f t="shared" si="16"/>
        <v>-282382.22866696212</v>
      </c>
      <c r="AH15" s="39">
        <f t="shared" si="17"/>
        <v>303625.90228075662</v>
      </c>
    </row>
    <row r="16" spans="1:34" x14ac:dyDescent="0.25">
      <c r="A16">
        <v>10</v>
      </c>
      <c r="B16" s="39">
        <f t="shared" si="0"/>
        <v>494849.27571759518</v>
      </c>
      <c r="C16" s="39">
        <f t="shared" si="1"/>
        <v>-406771.71527547319</v>
      </c>
      <c r="D16" s="39">
        <f t="shared" si="3"/>
        <v>88077.56044212199</v>
      </c>
      <c r="G16">
        <v>10</v>
      </c>
      <c r="H16" s="39">
        <f t="shared" si="2"/>
        <v>209110.01724836571</v>
      </c>
      <c r="I16" s="39">
        <f t="shared" si="4"/>
        <v>-164051.08926858054</v>
      </c>
      <c r="J16" s="39">
        <f t="shared" si="5"/>
        <v>45058.927979785163</v>
      </c>
      <c r="M16">
        <v>10</v>
      </c>
      <c r="N16" s="39">
        <f t="shared" si="6"/>
        <v>387649.46780943731</v>
      </c>
      <c r="O16" s="39">
        <f t="shared" si="7"/>
        <v>-286508.37621004315</v>
      </c>
      <c r="P16" s="39">
        <f t="shared" si="8"/>
        <v>101141.09159939416</v>
      </c>
      <c r="S16">
        <v>10</v>
      </c>
      <c r="T16" s="39">
        <f t="shared" si="9"/>
        <v>501501.74093471537</v>
      </c>
      <c r="U16" s="39">
        <f t="shared" si="10"/>
        <v>-343044.46733220154</v>
      </c>
      <c r="V16" s="39">
        <f t="shared" si="11"/>
        <v>158457.27360251383</v>
      </c>
      <c r="Y16">
        <v>10</v>
      </c>
      <c r="Z16" s="39">
        <f t="shared" si="12"/>
        <v>143286.21169563296</v>
      </c>
      <c r="AA16" s="39">
        <f t="shared" si="13"/>
        <v>-98012.704952057582</v>
      </c>
      <c r="AB16" s="39">
        <f t="shared" si="14"/>
        <v>45273.506743575374</v>
      </c>
      <c r="AE16">
        <v>10</v>
      </c>
      <c r="AF16" s="39">
        <f t="shared" si="15"/>
        <v>586008.13094771875</v>
      </c>
      <c r="AG16" s="39">
        <f t="shared" si="16"/>
        <v>-280105.03439985646</v>
      </c>
      <c r="AH16" s="39">
        <f t="shared" si="17"/>
        <v>305903.09654786228</v>
      </c>
    </row>
    <row r="17" spans="1:35" x14ac:dyDescent="0.25">
      <c r="A17">
        <v>11</v>
      </c>
      <c r="B17" s="39">
        <f t="shared" si="0"/>
        <v>494849.27571759518</v>
      </c>
      <c r="C17" s="39">
        <f t="shared" si="1"/>
        <v>-406111.1335721573</v>
      </c>
      <c r="D17" s="39">
        <f t="shared" si="3"/>
        <v>88738.142145437887</v>
      </c>
      <c r="G17">
        <v>11</v>
      </c>
      <c r="H17" s="39">
        <f t="shared" si="2"/>
        <v>209110.01724836571</v>
      </c>
      <c r="I17" s="39">
        <f t="shared" si="4"/>
        <v>-163750.69641538197</v>
      </c>
      <c r="J17" s="39">
        <f t="shared" si="5"/>
        <v>45359.320832983736</v>
      </c>
      <c r="M17">
        <v>11</v>
      </c>
      <c r="N17" s="39">
        <f t="shared" si="6"/>
        <v>387649.46780943731</v>
      </c>
      <c r="O17" s="39">
        <f t="shared" si="7"/>
        <v>-285918.38650904666</v>
      </c>
      <c r="P17" s="39">
        <f t="shared" si="8"/>
        <v>101731.08130039065</v>
      </c>
      <c r="S17">
        <v>11</v>
      </c>
      <c r="T17" s="39">
        <f t="shared" si="9"/>
        <v>501501.74093471537</v>
      </c>
      <c r="U17" s="39">
        <f t="shared" si="10"/>
        <v>-342252.18096418894</v>
      </c>
      <c r="V17" s="39">
        <f t="shared" si="11"/>
        <v>159249.55997052643</v>
      </c>
      <c r="Y17">
        <v>11</v>
      </c>
      <c r="Z17" s="39">
        <f t="shared" si="12"/>
        <v>143286.21169563296</v>
      </c>
      <c r="AA17" s="39">
        <f t="shared" si="13"/>
        <v>-97786.337418339695</v>
      </c>
      <c r="AB17" s="39">
        <f t="shared" si="14"/>
        <v>45499.87427729326</v>
      </c>
      <c r="AE17">
        <v>11</v>
      </c>
      <c r="AF17" s="39">
        <f t="shared" si="15"/>
        <v>586008.13094771875</v>
      </c>
      <c r="AG17" s="39">
        <f t="shared" si="16"/>
        <v>-277810.7611757475</v>
      </c>
      <c r="AH17" s="39">
        <f t="shared" si="17"/>
        <v>308197.36977197125</v>
      </c>
    </row>
    <row r="18" spans="1:35" x14ac:dyDescent="0.25">
      <c r="A18">
        <v>12</v>
      </c>
      <c r="B18" s="39">
        <f t="shared" si="0"/>
        <v>494849.27571759518</v>
      </c>
      <c r="C18" s="39">
        <f t="shared" si="1"/>
        <v>-405445.59750606649</v>
      </c>
      <c r="D18" s="39">
        <f t="shared" si="3"/>
        <v>89403.678211528691</v>
      </c>
      <c r="E18" s="39">
        <f>SUM(C7:C18)</f>
        <v>-4908200.6312084729</v>
      </c>
      <c r="G18">
        <v>12</v>
      </c>
      <c r="H18" s="39">
        <f t="shared" si="2"/>
        <v>209110.01724836571</v>
      </c>
      <c r="I18" s="39">
        <f t="shared" si="4"/>
        <v>-163448.30094316209</v>
      </c>
      <c r="J18" s="39">
        <f t="shared" si="5"/>
        <v>45661.716305203619</v>
      </c>
      <c r="K18" s="39">
        <f>SUM(I7:I18)</f>
        <v>-1980903.6321494943</v>
      </c>
      <c r="M18">
        <v>12</v>
      </c>
      <c r="N18" s="39">
        <f t="shared" si="6"/>
        <v>387649.46780943731</v>
      </c>
      <c r="O18" s="39">
        <f t="shared" si="7"/>
        <v>-285324.95520146104</v>
      </c>
      <c r="P18" s="39">
        <f t="shared" si="8"/>
        <v>102324.51260797627</v>
      </c>
      <c r="Q18" s="39">
        <f>SUM(O7:O18)</f>
        <v>-3462318.5642128699</v>
      </c>
      <c r="S18">
        <v>12</v>
      </c>
      <c r="T18" s="39">
        <f t="shared" si="9"/>
        <v>501501.74093471537</v>
      </c>
      <c r="U18" s="39">
        <f t="shared" si="10"/>
        <v>-341455.93316433637</v>
      </c>
      <c r="V18" s="39">
        <f t="shared" si="11"/>
        <v>160045.807770379</v>
      </c>
      <c r="W18" s="39">
        <f>SUM(U7:U18)</f>
        <v>-4149161.7163134785</v>
      </c>
      <c r="Y18">
        <v>12</v>
      </c>
      <c r="Z18" s="39">
        <f t="shared" si="12"/>
        <v>143286.21169563296</v>
      </c>
      <c r="AA18" s="39">
        <f t="shared" si="13"/>
        <v>-97558.838046953257</v>
      </c>
      <c r="AB18" s="39">
        <f t="shared" si="14"/>
        <v>45727.373648679699</v>
      </c>
      <c r="AC18" s="39">
        <f>SUM(AA7:AA18)</f>
        <v>-1185474.7760895654</v>
      </c>
      <c r="AE18">
        <v>12</v>
      </c>
      <c r="AF18" s="39">
        <f t="shared" si="15"/>
        <v>586008.13094771875</v>
      </c>
      <c r="AG18" s="39">
        <f t="shared" si="16"/>
        <v>-275499.28090245766</v>
      </c>
      <c r="AH18" s="39">
        <f t="shared" si="17"/>
        <v>310508.85004526109</v>
      </c>
      <c r="AI18" s="39">
        <f>SUM(AG7:AG18)</f>
        <v>-3454826.1749883881</v>
      </c>
    </row>
    <row r="19" spans="1:35" x14ac:dyDescent="0.25">
      <c r="A19">
        <v>13</v>
      </c>
      <c r="B19" s="39">
        <f t="shared" si="0"/>
        <v>494849.27571759518</v>
      </c>
      <c r="C19" s="39">
        <f t="shared" si="1"/>
        <v>-404775.06991948001</v>
      </c>
      <c r="D19" s="39">
        <f t="shared" si="3"/>
        <v>90074.205798115174</v>
      </c>
      <c r="E19" s="39">
        <f>SUM(D7:D18)</f>
        <v>1029990.6774026692</v>
      </c>
      <c r="G19">
        <v>13</v>
      </c>
      <c r="H19" s="39">
        <f t="shared" si="2"/>
        <v>209110.01724836571</v>
      </c>
      <c r="I19" s="39">
        <f t="shared" si="4"/>
        <v>-163143.88950112739</v>
      </c>
      <c r="J19" s="39">
        <f t="shared" si="5"/>
        <v>45966.127747238323</v>
      </c>
      <c r="K19" s="39">
        <f>SUM(J7:J18)</f>
        <v>528416.57483089401</v>
      </c>
      <c r="M19">
        <v>13</v>
      </c>
      <c r="N19" s="39">
        <f t="shared" si="6"/>
        <v>387649.46780943731</v>
      </c>
      <c r="O19" s="39">
        <f t="shared" si="7"/>
        <v>-284728.0622112478</v>
      </c>
      <c r="P19" s="39">
        <f t="shared" si="8"/>
        <v>102921.40559818951</v>
      </c>
      <c r="Q19" s="39">
        <f>SUM(P7:P18)</f>
        <v>1189475.0495003785</v>
      </c>
      <c r="S19">
        <v>13</v>
      </c>
      <c r="T19" s="39">
        <f t="shared" si="9"/>
        <v>501501.74093471537</v>
      </c>
      <c r="U19" s="39">
        <f t="shared" si="10"/>
        <v>-340655.70412548445</v>
      </c>
      <c r="V19" s="39">
        <f t="shared" si="11"/>
        <v>160846.03680923092</v>
      </c>
      <c r="W19" s="39">
        <f>SUM(V7:V18)</f>
        <v>1868859.1749031059</v>
      </c>
      <c r="Y19">
        <v>13</v>
      </c>
      <c r="Z19" s="39">
        <f t="shared" si="12"/>
        <v>143286.21169563296</v>
      </c>
      <c r="AA19" s="39">
        <f t="shared" si="13"/>
        <v>-97330.201178709845</v>
      </c>
      <c r="AB19" s="39">
        <f t="shared" si="14"/>
        <v>45956.01051692311</v>
      </c>
      <c r="AC19" s="39">
        <f>SUM(AB7:AB18)</f>
        <v>533959.7642580301</v>
      </c>
      <c r="AE19">
        <v>13</v>
      </c>
      <c r="AF19" s="39">
        <f t="shared" si="15"/>
        <v>586008.13094771875</v>
      </c>
      <c r="AG19" s="39">
        <f t="shared" si="16"/>
        <v>-273170.46452711825</v>
      </c>
      <c r="AH19" s="39">
        <f t="shared" si="17"/>
        <v>312837.66642060049</v>
      </c>
      <c r="AI19" s="39">
        <f>SUM(AH7:AH18)</f>
        <v>3577271.3963842373</v>
      </c>
    </row>
    <row r="20" spans="1:35" x14ac:dyDescent="0.25">
      <c r="A20">
        <v>14</v>
      </c>
      <c r="B20" s="39">
        <f t="shared" si="0"/>
        <v>494849.27571759518</v>
      </c>
      <c r="C20" s="39">
        <f t="shared" si="1"/>
        <v>-404099.51337599417</v>
      </c>
      <c r="D20" s="39">
        <f t="shared" si="3"/>
        <v>90749.762341601017</v>
      </c>
      <c r="E20" s="39">
        <f>SUM(B7:B18)</f>
        <v>5938191.3086111434</v>
      </c>
      <c r="G20">
        <v>14</v>
      </c>
      <c r="H20" s="39">
        <f t="shared" si="2"/>
        <v>209110.01724836571</v>
      </c>
      <c r="I20" s="39">
        <f t="shared" si="4"/>
        <v>-162837.44864947913</v>
      </c>
      <c r="J20" s="39">
        <f t="shared" si="5"/>
        <v>46272.568598886573</v>
      </c>
      <c r="K20" s="39">
        <f>SUM(H7:H18)</f>
        <v>2509320.2069803886</v>
      </c>
      <c r="M20">
        <v>14</v>
      </c>
      <c r="N20" s="39">
        <f t="shared" si="6"/>
        <v>387649.46780943731</v>
      </c>
      <c r="O20" s="39">
        <f t="shared" si="7"/>
        <v>-284127.68734525843</v>
      </c>
      <c r="P20" s="39">
        <f t="shared" si="8"/>
        <v>103521.78046417888</v>
      </c>
      <c r="S20">
        <v>14</v>
      </c>
      <c r="T20" s="39">
        <f t="shared" si="9"/>
        <v>501501.74093471537</v>
      </c>
      <c r="U20" s="39">
        <f t="shared" si="10"/>
        <v>-339851.47394143837</v>
      </c>
      <c r="V20" s="39">
        <f t="shared" si="11"/>
        <v>161650.26699327701</v>
      </c>
      <c r="Y20">
        <v>14</v>
      </c>
      <c r="Z20" s="39">
        <f t="shared" si="12"/>
        <v>143286.21169563296</v>
      </c>
      <c r="AA20" s="39">
        <f t="shared" si="13"/>
        <v>-97100.421126125235</v>
      </c>
      <c r="AB20" s="39">
        <f t="shared" si="14"/>
        <v>46185.790569507721</v>
      </c>
      <c r="AE20">
        <v>14</v>
      </c>
      <c r="AF20" s="39">
        <f t="shared" si="15"/>
        <v>586008.13094771875</v>
      </c>
      <c r="AG20" s="39">
        <f t="shared" si="16"/>
        <v>-270824.1820289637</v>
      </c>
      <c r="AH20" s="39">
        <f t="shared" si="17"/>
        <v>315183.94891875505</v>
      </c>
    </row>
    <row r="21" spans="1:35" x14ac:dyDescent="0.25">
      <c r="A21">
        <v>15</v>
      </c>
      <c r="B21" s="39">
        <f t="shared" si="0"/>
        <v>494849.27571759518</v>
      </c>
      <c r="C21" s="39">
        <f t="shared" si="1"/>
        <v>-403418.89015843213</v>
      </c>
      <c r="D21" s="39">
        <f t="shared" si="3"/>
        <v>91430.385559163056</v>
      </c>
      <c r="G21">
        <v>15</v>
      </c>
      <c r="H21" s="39">
        <f t="shared" si="2"/>
        <v>209110.01724836571</v>
      </c>
      <c r="I21" s="39">
        <f t="shared" si="4"/>
        <v>-162528.96485881988</v>
      </c>
      <c r="J21" s="39">
        <f t="shared" si="5"/>
        <v>46581.052389545832</v>
      </c>
      <c r="M21">
        <v>15</v>
      </c>
      <c r="N21" s="39">
        <f t="shared" si="6"/>
        <v>387649.46780943731</v>
      </c>
      <c r="O21" s="39">
        <f t="shared" si="7"/>
        <v>-283523.81029255071</v>
      </c>
      <c r="P21" s="39">
        <f t="shared" si="8"/>
        <v>104125.6575168866</v>
      </c>
      <c r="S21">
        <v>15</v>
      </c>
      <c r="T21" s="39">
        <f t="shared" si="9"/>
        <v>501501.74093471537</v>
      </c>
      <c r="U21" s="39">
        <f t="shared" si="10"/>
        <v>-339043.22260647191</v>
      </c>
      <c r="V21" s="39">
        <f t="shared" si="11"/>
        <v>162458.51832824346</v>
      </c>
      <c r="Y21">
        <v>15</v>
      </c>
      <c r="Z21" s="39">
        <f t="shared" si="12"/>
        <v>143286.21169563296</v>
      </c>
      <c r="AA21" s="39">
        <f t="shared" si="13"/>
        <v>-96869.4921732777</v>
      </c>
      <c r="AB21" s="39">
        <f t="shared" si="14"/>
        <v>46416.719522355255</v>
      </c>
      <c r="AE21">
        <v>15</v>
      </c>
      <c r="AF21" s="39">
        <f t="shared" si="15"/>
        <v>586008.13094771875</v>
      </c>
      <c r="AG21" s="39">
        <f t="shared" si="16"/>
        <v>-268460.30241207313</v>
      </c>
      <c r="AH21" s="39">
        <f t="shared" si="17"/>
        <v>317547.82853564562</v>
      </c>
    </row>
    <row r="22" spans="1:35" x14ac:dyDescent="0.25">
      <c r="A22">
        <v>16</v>
      </c>
      <c r="B22" s="39">
        <f t="shared" si="0"/>
        <v>494849.27571759518</v>
      </c>
      <c r="C22" s="39">
        <f t="shared" si="1"/>
        <v>-402733.16226673842</v>
      </c>
      <c r="D22" s="39">
        <f t="shared" si="3"/>
        <v>92116.113450856763</v>
      </c>
      <c r="G22">
        <v>16</v>
      </c>
      <c r="H22" s="39">
        <f t="shared" si="2"/>
        <v>209110.01724836571</v>
      </c>
      <c r="I22" s="39">
        <f t="shared" si="4"/>
        <v>-162218.42450955627</v>
      </c>
      <c r="J22" s="39">
        <f t="shared" si="5"/>
        <v>46891.592738809442</v>
      </c>
      <c r="M22">
        <v>16</v>
      </c>
      <c r="N22" s="39">
        <f t="shared" si="6"/>
        <v>387649.46780943731</v>
      </c>
      <c r="O22" s="39">
        <f t="shared" si="7"/>
        <v>-282916.41062370216</v>
      </c>
      <c r="P22" s="39">
        <f t="shared" si="8"/>
        <v>104733.05718573515</v>
      </c>
      <c r="S22">
        <v>16</v>
      </c>
      <c r="T22" s="39">
        <f t="shared" si="9"/>
        <v>501501.74093471537</v>
      </c>
      <c r="U22" s="39">
        <f t="shared" si="10"/>
        <v>-338230.93001483066</v>
      </c>
      <c r="V22" s="39">
        <f t="shared" si="11"/>
        <v>163270.81091988471</v>
      </c>
      <c r="Y22">
        <v>16</v>
      </c>
      <c r="Z22" s="39">
        <f t="shared" si="12"/>
        <v>143286.21169563296</v>
      </c>
      <c r="AA22" s="39">
        <f t="shared" si="13"/>
        <v>-96637.408575665919</v>
      </c>
      <c r="AB22" s="39">
        <f t="shared" si="14"/>
        <v>46648.803119967037</v>
      </c>
      <c r="AE22">
        <v>16</v>
      </c>
      <c r="AF22" s="39">
        <f t="shared" si="15"/>
        <v>586008.13094771875</v>
      </c>
      <c r="AG22" s="39">
        <f t="shared" si="16"/>
        <v>-266078.69369805569</v>
      </c>
      <c r="AH22" s="39">
        <f t="shared" si="17"/>
        <v>319929.43724966305</v>
      </c>
    </row>
    <row r="23" spans="1:35" x14ac:dyDescent="0.25">
      <c r="A23">
        <v>17</v>
      </c>
      <c r="B23" s="39">
        <f t="shared" si="0"/>
        <v>494849.27571759518</v>
      </c>
      <c r="C23" s="39">
        <f t="shared" si="1"/>
        <v>-402042.29141585703</v>
      </c>
      <c r="D23" s="39">
        <f t="shared" si="3"/>
        <v>92806.98430173815</v>
      </c>
      <c r="G23">
        <v>17</v>
      </c>
      <c r="H23" s="39">
        <f t="shared" si="2"/>
        <v>209110.01724836571</v>
      </c>
      <c r="I23" s="39">
        <f t="shared" si="4"/>
        <v>-161905.81389129753</v>
      </c>
      <c r="J23" s="39">
        <f t="shared" si="5"/>
        <v>47204.203357068182</v>
      </c>
      <c r="M23">
        <v>17</v>
      </c>
      <c r="N23" s="39">
        <f t="shared" si="6"/>
        <v>387649.46780943731</v>
      </c>
      <c r="O23" s="39">
        <f t="shared" si="7"/>
        <v>-282305.46779011871</v>
      </c>
      <c r="P23" s="39">
        <f t="shared" si="8"/>
        <v>105344.0000193186</v>
      </c>
      <c r="S23">
        <v>17</v>
      </c>
      <c r="T23" s="39">
        <f t="shared" si="9"/>
        <v>501501.74093471537</v>
      </c>
      <c r="U23" s="39">
        <f t="shared" si="10"/>
        <v>-337414.5759602313</v>
      </c>
      <c r="V23" s="39">
        <f t="shared" si="11"/>
        <v>164087.16497448407</v>
      </c>
      <c r="Y23">
        <v>17</v>
      </c>
      <c r="Z23" s="39">
        <f t="shared" si="12"/>
        <v>143286.21169563296</v>
      </c>
      <c r="AA23" s="39">
        <f t="shared" si="13"/>
        <v>-96404.16456006607</v>
      </c>
      <c r="AB23" s="39">
        <f t="shared" si="14"/>
        <v>46882.047135566885</v>
      </c>
      <c r="AE23">
        <v>17</v>
      </c>
      <c r="AF23" s="39">
        <f t="shared" si="15"/>
        <v>586008.13094771875</v>
      </c>
      <c r="AG23" s="39">
        <f t="shared" si="16"/>
        <v>-263679.2229186832</v>
      </c>
      <c r="AH23" s="39">
        <f t="shared" si="17"/>
        <v>322328.90802903555</v>
      </c>
    </row>
    <row r="24" spans="1:35" x14ac:dyDescent="0.25">
      <c r="A24">
        <v>18</v>
      </c>
      <c r="B24" s="39">
        <f t="shared" si="0"/>
        <v>494849.27571759518</v>
      </c>
      <c r="C24" s="39">
        <f t="shared" si="1"/>
        <v>-401346.23903359391</v>
      </c>
      <c r="D24" s="39">
        <f t="shared" si="3"/>
        <v>93503.036684001272</v>
      </c>
      <c r="G24">
        <v>18</v>
      </c>
      <c r="H24" s="39">
        <f t="shared" si="2"/>
        <v>209110.01724836571</v>
      </c>
      <c r="I24" s="39">
        <f t="shared" si="4"/>
        <v>-161591.11920225041</v>
      </c>
      <c r="J24" s="39">
        <f t="shared" si="5"/>
        <v>47518.898046115297</v>
      </c>
      <c r="M24">
        <v>18</v>
      </c>
      <c r="N24" s="39">
        <f t="shared" si="6"/>
        <v>387649.46780943731</v>
      </c>
      <c r="O24" s="39">
        <f t="shared" si="7"/>
        <v>-281690.96112333937</v>
      </c>
      <c r="P24" s="39">
        <f t="shared" si="8"/>
        <v>105958.50668609794</v>
      </c>
      <c r="S24">
        <v>18</v>
      </c>
      <c r="T24" s="39">
        <f t="shared" si="9"/>
        <v>501501.74093471537</v>
      </c>
      <c r="U24" s="39">
        <f t="shared" si="10"/>
        <v>-336594.1401353589</v>
      </c>
      <c r="V24" s="39">
        <f t="shared" si="11"/>
        <v>164907.60079935647</v>
      </c>
      <c r="Y24">
        <v>18</v>
      </c>
      <c r="Z24" s="39">
        <f t="shared" si="12"/>
        <v>143286.21169563296</v>
      </c>
      <c r="AA24" s="39">
        <f t="shared" si="13"/>
        <v>-96169.754324388239</v>
      </c>
      <c r="AB24" s="39">
        <f t="shared" si="14"/>
        <v>47116.457371244716</v>
      </c>
      <c r="AE24">
        <v>18</v>
      </c>
      <c r="AF24" s="39">
        <f t="shared" si="15"/>
        <v>586008.13094771875</v>
      </c>
      <c r="AG24" s="39">
        <f t="shared" si="16"/>
        <v>-261261.75610846549</v>
      </c>
      <c r="AH24" s="39">
        <f t="shared" si="17"/>
        <v>324746.37483925326</v>
      </c>
    </row>
    <row r="25" spans="1:35" x14ac:dyDescent="0.25">
      <c r="A25">
        <v>19</v>
      </c>
      <c r="B25" s="39">
        <f t="shared" si="0"/>
        <v>494849.27571759518</v>
      </c>
      <c r="C25" s="39">
        <f t="shared" si="1"/>
        <v>-400644.96625846392</v>
      </c>
      <c r="D25" s="39">
        <f t="shared" si="3"/>
        <v>94204.309459131269</v>
      </c>
      <c r="G25">
        <v>19</v>
      </c>
      <c r="H25" s="39">
        <f t="shared" si="2"/>
        <v>209110.01724836571</v>
      </c>
      <c r="I25" s="39">
        <f t="shared" si="4"/>
        <v>-161274.32654860965</v>
      </c>
      <c r="J25" s="39">
        <f t="shared" si="5"/>
        <v>47835.690699756058</v>
      </c>
      <c r="M25">
        <v>19</v>
      </c>
      <c r="N25" s="39">
        <f t="shared" si="6"/>
        <v>387649.46780943731</v>
      </c>
      <c r="O25" s="39">
        <f t="shared" si="7"/>
        <v>-281072.86983433715</v>
      </c>
      <c r="P25" s="39">
        <f t="shared" si="8"/>
        <v>106576.59797510016</v>
      </c>
      <c r="S25">
        <v>19</v>
      </c>
      <c r="T25" s="39">
        <f t="shared" si="9"/>
        <v>501501.74093471537</v>
      </c>
      <c r="U25" s="39">
        <f t="shared" si="10"/>
        <v>-335769.60213136201</v>
      </c>
      <c r="V25" s="39">
        <f t="shared" si="11"/>
        <v>165732.13880335336</v>
      </c>
      <c r="Y25">
        <v>19</v>
      </c>
      <c r="Z25" s="39">
        <f t="shared" si="12"/>
        <v>143286.21169563296</v>
      </c>
      <c r="AA25" s="39">
        <f t="shared" si="13"/>
        <v>-95934.172037532015</v>
      </c>
      <c r="AB25" s="39">
        <f t="shared" si="14"/>
        <v>47352.039658100941</v>
      </c>
      <c r="AE25">
        <v>19</v>
      </c>
      <c r="AF25" s="39">
        <f t="shared" si="15"/>
        <v>586008.13094771875</v>
      </c>
      <c r="AG25" s="39">
        <f t="shared" si="16"/>
        <v>-258826.15829717109</v>
      </c>
      <c r="AH25" s="39">
        <f t="shared" si="17"/>
        <v>327181.97265054763</v>
      </c>
    </row>
    <row r="26" spans="1:35" x14ac:dyDescent="0.25">
      <c r="A26">
        <v>20</v>
      </c>
      <c r="B26" s="39">
        <f t="shared" si="0"/>
        <v>494849.27571759518</v>
      </c>
      <c r="C26" s="39">
        <f t="shared" si="1"/>
        <v>-399938.43393752043</v>
      </c>
      <c r="D26" s="39">
        <f t="shared" si="3"/>
        <v>94910.841780074756</v>
      </c>
      <c r="G26">
        <v>20</v>
      </c>
      <c r="H26" s="39">
        <f t="shared" si="2"/>
        <v>209110.01724836571</v>
      </c>
      <c r="I26" s="39">
        <f t="shared" si="4"/>
        <v>-160955.42194394459</v>
      </c>
      <c r="J26" s="39">
        <f t="shared" si="5"/>
        <v>48154.59530442112</v>
      </c>
      <c r="M26">
        <v>20</v>
      </c>
      <c r="N26" s="39">
        <f t="shared" si="6"/>
        <v>387649.46780943731</v>
      </c>
      <c r="O26" s="39">
        <f t="shared" si="7"/>
        <v>-280451.17301281571</v>
      </c>
      <c r="P26" s="39">
        <f t="shared" si="8"/>
        <v>107198.2947966216</v>
      </c>
      <c r="S26">
        <v>20</v>
      </c>
      <c r="T26" s="39">
        <f t="shared" si="9"/>
        <v>501501.74093471537</v>
      </c>
      <c r="U26" s="39">
        <f t="shared" si="10"/>
        <v>-334940.94143734529</v>
      </c>
      <c r="V26" s="39">
        <f t="shared" si="11"/>
        <v>166560.79949737008</v>
      </c>
      <c r="Y26">
        <v>20</v>
      </c>
      <c r="Z26" s="39">
        <f t="shared" si="12"/>
        <v>143286.21169563296</v>
      </c>
      <c r="AA26" s="39">
        <f t="shared" si="13"/>
        <v>-95697.411839241511</v>
      </c>
      <c r="AB26" s="39">
        <f t="shared" si="14"/>
        <v>47588.799856391444</v>
      </c>
      <c r="AE26">
        <v>20</v>
      </c>
      <c r="AF26" s="39">
        <f t="shared" si="15"/>
        <v>586008.13094771875</v>
      </c>
      <c r="AG26" s="39">
        <f t="shared" si="16"/>
        <v>-256372.29350229201</v>
      </c>
      <c r="AH26" s="39">
        <f t="shared" si="17"/>
        <v>329635.83744542673</v>
      </c>
    </row>
    <row r="27" spans="1:35" x14ac:dyDescent="0.25">
      <c r="A27">
        <v>21</v>
      </c>
      <c r="B27" s="39">
        <f t="shared" si="0"/>
        <v>494849.27571759518</v>
      </c>
      <c r="C27" s="39">
        <f t="shared" si="1"/>
        <v>-399226.6026241699</v>
      </c>
      <c r="D27" s="39">
        <f t="shared" si="3"/>
        <v>95622.673093425285</v>
      </c>
      <c r="G27">
        <v>21</v>
      </c>
      <c r="H27" s="39">
        <f t="shared" si="2"/>
        <v>209110.01724836571</v>
      </c>
      <c r="I27" s="39">
        <f t="shared" si="4"/>
        <v>-160634.39130858178</v>
      </c>
      <c r="J27" s="39">
        <f t="shared" si="5"/>
        <v>48475.625939783931</v>
      </c>
      <c r="M27">
        <v>21</v>
      </c>
      <c r="N27" s="39">
        <f t="shared" si="6"/>
        <v>387649.46780943731</v>
      </c>
      <c r="O27" s="39">
        <f t="shared" si="7"/>
        <v>-279825.84962650208</v>
      </c>
      <c r="P27" s="39">
        <f t="shared" si="8"/>
        <v>107823.61818293523</v>
      </c>
      <c r="S27">
        <v>21</v>
      </c>
      <c r="T27" s="39">
        <f t="shared" si="9"/>
        <v>501501.74093471537</v>
      </c>
      <c r="U27" s="39">
        <f t="shared" si="10"/>
        <v>-334108.13743985852</v>
      </c>
      <c r="V27" s="39">
        <f t="shared" si="11"/>
        <v>167393.60349485686</v>
      </c>
      <c r="Y27">
        <v>21</v>
      </c>
      <c r="Z27" s="39">
        <f t="shared" si="12"/>
        <v>143286.21169563296</v>
      </c>
      <c r="AA27" s="39">
        <f t="shared" si="13"/>
        <v>-95459.467839959558</v>
      </c>
      <c r="AB27" s="39">
        <f t="shared" si="14"/>
        <v>47826.743855673398</v>
      </c>
      <c r="AE27">
        <v>21</v>
      </c>
      <c r="AF27" s="39">
        <f t="shared" si="15"/>
        <v>586008.13094771875</v>
      </c>
      <c r="AG27" s="39">
        <f t="shared" si="16"/>
        <v>-253900.02472145128</v>
      </c>
      <c r="AH27" s="39">
        <f t="shared" si="17"/>
        <v>332108.10622626747</v>
      </c>
    </row>
    <row r="28" spans="1:35" x14ac:dyDescent="0.25">
      <c r="A28">
        <v>22</v>
      </c>
      <c r="B28" s="39">
        <f t="shared" si="0"/>
        <v>494849.27571759518</v>
      </c>
      <c r="C28" s="39">
        <f t="shared" si="1"/>
        <v>-398509.43257596926</v>
      </c>
      <c r="D28" s="39">
        <f t="shared" si="3"/>
        <v>96339.843141625926</v>
      </c>
      <c r="G28">
        <v>22</v>
      </c>
      <c r="H28" s="39">
        <f t="shared" si="2"/>
        <v>209110.01724836571</v>
      </c>
      <c r="I28" s="39">
        <f t="shared" si="4"/>
        <v>-160311.2204689832</v>
      </c>
      <c r="J28" s="39">
        <f t="shared" si="5"/>
        <v>48798.796779382508</v>
      </c>
      <c r="M28">
        <v>22</v>
      </c>
      <c r="N28" s="39">
        <f t="shared" si="6"/>
        <v>387649.46780943731</v>
      </c>
      <c r="O28" s="39">
        <f t="shared" si="7"/>
        <v>-279196.8785204349</v>
      </c>
      <c r="P28" s="39">
        <f t="shared" si="8"/>
        <v>108452.58928900241</v>
      </c>
      <c r="S28">
        <v>22</v>
      </c>
      <c r="T28" s="39">
        <f t="shared" si="9"/>
        <v>501501.74093471537</v>
      </c>
      <c r="U28" s="39">
        <f t="shared" si="10"/>
        <v>-333271.16942238418</v>
      </c>
      <c r="V28" s="39">
        <f t="shared" si="11"/>
        <v>168230.5715123312</v>
      </c>
      <c r="Y28">
        <v>22</v>
      </c>
      <c r="Z28" s="39">
        <f t="shared" si="12"/>
        <v>143286.21169563296</v>
      </c>
      <c r="AA28" s="39">
        <f t="shared" si="13"/>
        <v>-95220.334120681189</v>
      </c>
      <c r="AB28" s="39">
        <f t="shared" si="14"/>
        <v>48065.877574951766</v>
      </c>
      <c r="AE28">
        <v>22</v>
      </c>
      <c r="AF28" s="39">
        <f t="shared" si="15"/>
        <v>586008.13094771875</v>
      </c>
      <c r="AG28" s="39">
        <f t="shared" si="16"/>
        <v>-251409.21392475427</v>
      </c>
      <c r="AH28" s="39">
        <f t="shared" si="17"/>
        <v>334598.91702296445</v>
      </c>
    </row>
    <row r="29" spans="1:35" x14ac:dyDescent="0.25">
      <c r="A29">
        <v>23</v>
      </c>
      <c r="B29" s="39">
        <f t="shared" si="0"/>
        <v>494849.27571759518</v>
      </c>
      <c r="C29" s="39">
        <f t="shared" si="1"/>
        <v>-397786.88375240698</v>
      </c>
      <c r="D29" s="39">
        <f t="shared" si="3"/>
        <v>97062.391965188202</v>
      </c>
      <c r="G29">
        <v>23</v>
      </c>
      <c r="H29" s="39">
        <f t="shared" si="2"/>
        <v>209110.01724836571</v>
      </c>
      <c r="I29" s="39">
        <f t="shared" si="4"/>
        <v>-159985.89515712066</v>
      </c>
      <c r="J29" s="39">
        <f t="shared" si="5"/>
        <v>49124.122091245052</v>
      </c>
      <c r="M29">
        <v>23</v>
      </c>
      <c r="N29" s="39">
        <f t="shared" si="6"/>
        <v>387649.46780943731</v>
      </c>
      <c r="O29" s="39">
        <f t="shared" si="7"/>
        <v>-278564.23841624905</v>
      </c>
      <c r="P29" s="39">
        <f t="shared" si="8"/>
        <v>109085.22939318826</v>
      </c>
      <c r="S29">
        <v>23</v>
      </c>
      <c r="T29" s="39">
        <f t="shared" si="9"/>
        <v>501501.74093471537</v>
      </c>
      <c r="U29" s="39">
        <f t="shared" si="10"/>
        <v>-332430.01656482252</v>
      </c>
      <c r="V29" s="39">
        <f t="shared" si="11"/>
        <v>169071.72436989285</v>
      </c>
      <c r="Y29">
        <v>23</v>
      </c>
      <c r="Z29" s="39">
        <f t="shared" si="12"/>
        <v>143286.21169563296</v>
      </c>
      <c r="AA29" s="39">
        <f t="shared" si="13"/>
        <v>-94980.004732806425</v>
      </c>
      <c r="AB29" s="39">
        <f t="shared" si="14"/>
        <v>48306.206962826531</v>
      </c>
      <c r="AE29">
        <v>23</v>
      </c>
      <c r="AF29" s="39">
        <f t="shared" si="15"/>
        <v>586008.13094771875</v>
      </c>
      <c r="AG29" s="39">
        <f t="shared" si="16"/>
        <v>-248899.72204708203</v>
      </c>
      <c r="AH29" s="39">
        <f t="shared" si="17"/>
        <v>337108.40890063671</v>
      </c>
    </row>
    <row r="30" spans="1:35" x14ac:dyDescent="0.25">
      <c r="A30">
        <v>24</v>
      </c>
      <c r="B30" s="39">
        <f t="shared" si="0"/>
        <v>494849.27571759518</v>
      </c>
      <c r="C30" s="39">
        <f t="shared" si="1"/>
        <v>-397058.91581266804</v>
      </c>
      <c r="D30" s="39">
        <f t="shared" si="3"/>
        <v>97790.359904927143</v>
      </c>
      <c r="E30" s="39">
        <f>SUM(C19:C30)</f>
        <v>-4811580.4011312937</v>
      </c>
      <c r="G30">
        <v>24</v>
      </c>
      <c r="H30" s="39">
        <f t="shared" si="2"/>
        <v>209110.01724836571</v>
      </c>
      <c r="I30" s="39">
        <f t="shared" si="4"/>
        <v>-159658.40100984572</v>
      </c>
      <c r="J30" s="39">
        <f t="shared" si="5"/>
        <v>49451.616238519986</v>
      </c>
      <c r="K30" s="39">
        <f>SUM(I19:I30)</f>
        <v>-1937045.3170496162</v>
      </c>
      <c r="M30">
        <v>24</v>
      </c>
      <c r="N30" s="39">
        <f t="shared" si="6"/>
        <v>387649.46780943731</v>
      </c>
      <c r="O30" s="39">
        <f t="shared" si="7"/>
        <v>-277927.90791145549</v>
      </c>
      <c r="P30" s="39">
        <f t="shared" si="8"/>
        <v>109721.55989798182</v>
      </c>
      <c r="Q30" s="39">
        <f>SUM(O19:O30)</f>
        <v>-3376331.3167080116</v>
      </c>
      <c r="S30">
        <v>24</v>
      </c>
      <c r="T30" s="39">
        <f t="shared" si="9"/>
        <v>501501.74093471537</v>
      </c>
      <c r="U30" s="39">
        <f t="shared" si="10"/>
        <v>-331584.65794297302</v>
      </c>
      <c r="V30" s="39">
        <f t="shared" si="11"/>
        <v>169917.08299174235</v>
      </c>
      <c r="W30" s="39">
        <f>SUM(U19:U30)</f>
        <v>-4033894.5717225615</v>
      </c>
      <c r="Y30">
        <v>24</v>
      </c>
      <c r="Z30" s="39">
        <f t="shared" si="12"/>
        <v>143286.21169563296</v>
      </c>
      <c r="AA30" s="39">
        <f t="shared" si="13"/>
        <v>-94738.473697992289</v>
      </c>
      <c r="AB30" s="39">
        <f t="shared" si="14"/>
        <v>48547.737997640666</v>
      </c>
      <c r="AC30" s="39">
        <f>SUM(AA19:AA30)</f>
        <v>-1152541.3062064459</v>
      </c>
      <c r="AE30">
        <v>24</v>
      </c>
      <c r="AF30" s="39">
        <f t="shared" si="15"/>
        <v>586008.13094771875</v>
      </c>
      <c r="AG30" s="39">
        <f t="shared" si="16"/>
        <v>-246371.40898032728</v>
      </c>
      <c r="AH30" s="39">
        <f t="shared" si="17"/>
        <v>339636.72196739144</v>
      </c>
      <c r="AI30" s="39">
        <f>SUM(AG19:AG30)</f>
        <v>-3119253.4431664376</v>
      </c>
    </row>
    <row r="31" spans="1:35" x14ac:dyDescent="0.25">
      <c r="A31">
        <v>25</v>
      </c>
      <c r="B31" s="39">
        <f t="shared" si="0"/>
        <v>494849.27571759518</v>
      </c>
      <c r="C31" s="39">
        <f t="shared" si="1"/>
        <v>-396325.48811338114</v>
      </c>
      <c r="D31" s="39">
        <f t="shared" si="3"/>
        <v>98523.787604214041</v>
      </c>
      <c r="E31" s="39">
        <f>SUM(D19:D30)</f>
        <v>1126610.9074798478</v>
      </c>
      <c r="G31">
        <v>25</v>
      </c>
      <c r="H31" s="39">
        <f t="shared" si="2"/>
        <v>209110.01724836571</v>
      </c>
      <c r="I31" s="39">
        <f t="shared" si="4"/>
        <v>-159328.72356825558</v>
      </c>
      <c r="J31" s="39">
        <f t="shared" si="5"/>
        <v>49781.293680110131</v>
      </c>
      <c r="K31" s="39">
        <f>SUM(J19:J30)</f>
        <v>572274.88993077236</v>
      </c>
      <c r="M31">
        <v>25</v>
      </c>
      <c r="N31" s="39">
        <f t="shared" si="6"/>
        <v>387649.46780943731</v>
      </c>
      <c r="O31" s="39">
        <f t="shared" si="7"/>
        <v>-277287.86547871726</v>
      </c>
      <c r="P31" s="39">
        <f t="shared" si="8"/>
        <v>110361.60233072005</v>
      </c>
      <c r="Q31" s="39">
        <f>SUM(P19:P30)</f>
        <v>1275462.2970052364</v>
      </c>
      <c r="S31">
        <v>25</v>
      </c>
      <c r="T31" s="39">
        <f t="shared" si="9"/>
        <v>501501.74093471537</v>
      </c>
      <c r="U31" s="39">
        <f t="shared" si="10"/>
        <v>-330735.07252801437</v>
      </c>
      <c r="V31" s="39">
        <f t="shared" si="11"/>
        <v>170766.66840670101</v>
      </c>
      <c r="W31" s="39">
        <f>SUM(V19:V30)</f>
        <v>1984126.3194940237</v>
      </c>
      <c r="Y31">
        <v>25</v>
      </c>
      <c r="Z31" s="39">
        <f t="shared" si="12"/>
        <v>143286.21169563296</v>
      </c>
      <c r="AA31" s="39">
        <f t="shared" si="13"/>
        <v>-94495.735008004107</v>
      </c>
      <c r="AB31" s="39">
        <f t="shared" si="14"/>
        <v>48790.476687628849</v>
      </c>
      <c r="AC31" s="39">
        <f>SUM(AB19:AB30)</f>
        <v>566893.23414114944</v>
      </c>
      <c r="AE31">
        <v>25</v>
      </c>
      <c r="AF31" s="39">
        <f t="shared" si="15"/>
        <v>586008.13094771875</v>
      </c>
      <c r="AG31" s="39">
        <f t="shared" si="16"/>
        <v>-243824.1335655718</v>
      </c>
      <c r="AH31" s="39">
        <f t="shared" si="17"/>
        <v>342183.99738214695</v>
      </c>
      <c r="AI31" s="39">
        <f>SUM(AH19:AH30)</f>
        <v>3912844.1282061869</v>
      </c>
    </row>
    <row r="32" spans="1:35" x14ac:dyDescent="0.25">
      <c r="A32">
        <v>26</v>
      </c>
      <c r="B32" s="39">
        <f t="shared" si="0"/>
        <v>494849.27571759518</v>
      </c>
      <c r="C32" s="39">
        <f t="shared" si="1"/>
        <v>-395586.55970634957</v>
      </c>
      <c r="D32" s="39">
        <f t="shared" si="3"/>
        <v>99262.716011245619</v>
      </c>
      <c r="E32" s="39">
        <f>E31-E30</f>
        <v>5938191.3086111415</v>
      </c>
      <c r="G32">
        <v>26</v>
      </c>
      <c r="H32" s="39">
        <f t="shared" si="2"/>
        <v>209110.01724836571</v>
      </c>
      <c r="I32" s="39">
        <f t="shared" si="4"/>
        <v>-158996.84827705484</v>
      </c>
      <c r="J32" s="39">
        <f t="shared" si="5"/>
        <v>50113.168971310864</v>
      </c>
      <c r="K32" s="39">
        <f>K31-K30</f>
        <v>2509320.2069803886</v>
      </c>
      <c r="M32">
        <v>26</v>
      </c>
      <c r="N32" s="39">
        <f t="shared" si="6"/>
        <v>387649.46780943731</v>
      </c>
      <c r="O32" s="39">
        <f t="shared" si="7"/>
        <v>-276644.08946512145</v>
      </c>
      <c r="P32" s="39">
        <f t="shared" si="8"/>
        <v>111005.37834431586</v>
      </c>
      <c r="S32">
        <v>26</v>
      </c>
      <c r="T32" s="39">
        <f t="shared" si="9"/>
        <v>501501.74093471537</v>
      </c>
      <c r="U32" s="39">
        <f t="shared" si="10"/>
        <v>-329881.23918598087</v>
      </c>
      <c r="V32" s="39">
        <f t="shared" si="11"/>
        <v>171620.5017487345</v>
      </c>
      <c r="Y32">
        <v>26</v>
      </c>
      <c r="Z32" s="39">
        <f t="shared" si="12"/>
        <v>143286.21169563296</v>
      </c>
      <c r="AA32" s="39">
        <f t="shared" si="13"/>
        <v>-94251.782624565967</v>
      </c>
      <c r="AB32" s="39">
        <f t="shared" si="14"/>
        <v>49034.429071066988</v>
      </c>
      <c r="AE32">
        <v>26</v>
      </c>
      <c r="AF32" s="39">
        <f t="shared" si="15"/>
        <v>586008.13094771875</v>
      </c>
      <c r="AG32" s="39">
        <f t="shared" si="16"/>
        <v>-241257.7535852057</v>
      </c>
      <c r="AH32" s="39">
        <f t="shared" si="17"/>
        <v>344750.37736251304</v>
      </c>
    </row>
    <row r="33" spans="1:35" x14ac:dyDescent="0.25">
      <c r="A33">
        <v>27</v>
      </c>
      <c r="B33" s="39">
        <f t="shared" si="0"/>
        <v>494849.27571759518</v>
      </c>
      <c r="C33" s="39">
        <f t="shared" si="1"/>
        <v>-394842.08933626517</v>
      </c>
      <c r="D33" s="39">
        <f t="shared" si="3"/>
        <v>100007.18638133002</v>
      </c>
      <c r="G33">
        <v>27</v>
      </c>
      <c r="H33" s="39">
        <f t="shared" si="2"/>
        <v>209110.01724836571</v>
      </c>
      <c r="I33" s="39">
        <f t="shared" si="4"/>
        <v>-158662.76048391277</v>
      </c>
      <c r="J33" s="39">
        <f t="shared" si="5"/>
        <v>50447.256764452934</v>
      </c>
      <c r="M33">
        <v>27</v>
      </c>
      <c r="N33" s="39">
        <f t="shared" si="6"/>
        <v>387649.46780943731</v>
      </c>
      <c r="O33" s="39">
        <f t="shared" si="7"/>
        <v>-275996.55809144623</v>
      </c>
      <c r="P33" s="39">
        <f t="shared" si="8"/>
        <v>111652.90971799108</v>
      </c>
      <c r="S33">
        <v>27</v>
      </c>
      <c r="T33" s="39">
        <f t="shared" si="9"/>
        <v>501501.74093471537</v>
      </c>
      <c r="U33" s="39">
        <f t="shared" si="10"/>
        <v>-329023.13667723717</v>
      </c>
      <c r="V33" s="39">
        <f t="shared" si="11"/>
        <v>172478.6042574782</v>
      </c>
      <c r="Y33">
        <v>27</v>
      </c>
      <c r="Z33" s="39">
        <f t="shared" si="12"/>
        <v>143286.21169563296</v>
      </c>
      <c r="AA33" s="39">
        <f t="shared" si="13"/>
        <v>-94006.61047921062</v>
      </c>
      <c r="AB33" s="39">
        <f t="shared" si="14"/>
        <v>49279.601216422336</v>
      </c>
      <c r="AE33">
        <v>27</v>
      </c>
      <c r="AF33" s="39">
        <f t="shared" si="15"/>
        <v>586008.13094771875</v>
      </c>
      <c r="AG33" s="39">
        <f t="shared" si="16"/>
        <v>-238672.12575498692</v>
      </c>
      <c r="AH33" s="39">
        <f t="shared" si="17"/>
        <v>347336.00519273186</v>
      </c>
    </row>
    <row r="34" spans="1:35" x14ac:dyDescent="0.25">
      <c r="A34">
        <v>28</v>
      </c>
      <c r="B34" s="39">
        <f t="shared" si="0"/>
        <v>494849.27571759518</v>
      </c>
      <c r="C34" s="39">
        <f t="shared" si="1"/>
        <v>-394092.03543840518</v>
      </c>
      <c r="D34" s="39">
        <f t="shared" si="3"/>
        <v>100757.24027919001</v>
      </c>
      <c r="G34">
        <v>28</v>
      </c>
      <c r="H34" s="39">
        <f t="shared" si="2"/>
        <v>209110.01724836571</v>
      </c>
      <c r="I34" s="39">
        <f t="shared" si="4"/>
        <v>-158326.44543881642</v>
      </c>
      <c r="J34" s="39">
        <f t="shared" si="5"/>
        <v>50783.571809549292</v>
      </c>
      <c r="M34">
        <v>28</v>
      </c>
      <c r="N34" s="39">
        <f t="shared" si="6"/>
        <v>387649.46780943731</v>
      </c>
      <c r="O34" s="39">
        <f t="shared" si="7"/>
        <v>-275345.24945142469</v>
      </c>
      <c r="P34" s="39">
        <f t="shared" si="8"/>
        <v>112304.21835801261</v>
      </c>
      <c r="S34">
        <v>28</v>
      </c>
      <c r="T34" s="39">
        <f t="shared" si="9"/>
        <v>501501.74093471537</v>
      </c>
      <c r="U34" s="39">
        <f t="shared" si="10"/>
        <v>-328160.74365594971</v>
      </c>
      <c r="V34" s="39">
        <f t="shared" si="11"/>
        <v>173340.99727876566</v>
      </c>
      <c r="Y34">
        <v>28</v>
      </c>
      <c r="Z34" s="39">
        <f t="shared" si="12"/>
        <v>143286.21169563296</v>
      </c>
      <c r="AA34" s="39">
        <f t="shared" si="13"/>
        <v>-93760.2124731285</v>
      </c>
      <c r="AB34" s="39">
        <f t="shared" si="14"/>
        <v>49525.999222504455</v>
      </c>
      <c r="AE34">
        <v>28</v>
      </c>
      <c r="AF34" s="39">
        <f t="shared" si="15"/>
        <v>586008.13094771875</v>
      </c>
      <c r="AG34" s="39">
        <f t="shared" si="16"/>
        <v>-236067.10571604138</v>
      </c>
      <c r="AH34" s="39">
        <f t="shared" si="17"/>
        <v>349941.02523167734</v>
      </c>
    </row>
    <row r="35" spans="1:35" x14ac:dyDescent="0.25">
      <c r="A35">
        <v>29</v>
      </c>
      <c r="B35" s="39">
        <f t="shared" si="0"/>
        <v>494849.27571759518</v>
      </c>
      <c r="C35" s="39">
        <f t="shared" si="1"/>
        <v>-393336.35613631131</v>
      </c>
      <c r="D35" s="39">
        <f t="shared" si="3"/>
        <v>101512.91958128387</v>
      </c>
      <c r="G35">
        <v>29</v>
      </c>
      <c r="H35" s="39">
        <f t="shared" si="2"/>
        <v>209110.01724836571</v>
      </c>
      <c r="I35" s="39">
        <f t="shared" si="4"/>
        <v>-157987.88829341941</v>
      </c>
      <c r="J35" s="39">
        <f t="shared" si="5"/>
        <v>51122.128954946296</v>
      </c>
      <c r="M35">
        <v>29</v>
      </c>
      <c r="N35" s="39">
        <f t="shared" si="6"/>
        <v>387649.46780943731</v>
      </c>
      <c r="O35" s="39">
        <f t="shared" si="7"/>
        <v>-274690.14151100285</v>
      </c>
      <c r="P35" s="39">
        <f t="shared" si="8"/>
        <v>112959.32629843446</v>
      </c>
      <c r="S35">
        <v>29</v>
      </c>
      <c r="T35" s="39">
        <f t="shared" si="9"/>
        <v>501501.74093471537</v>
      </c>
      <c r="U35" s="39">
        <f t="shared" si="10"/>
        <v>-327294.03866955591</v>
      </c>
      <c r="V35" s="39">
        <f t="shared" si="11"/>
        <v>174207.70226515946</v>
      </c>
      <c r="Y35">
        <v>29</v>
      </c>
      <c r="Z35" s="39">
        <f t="shared" si="12"/>
        <v>143286.21169563296</v>
      </c>
      <c r="AA35" s="39">
        <f t="shared" si="13"/>
        <v>-93512.582477015982</v>
      </c>
      <c r="AB35" s="39">
        <f t="shared" si="14"/>
        <v>49773.629218616974</v>
      </c>
      <c r="AE35">
        <v>29</v>
      </c>
      <c r="AF35" s="39">
        <f t="shared" si="15"/>
        <v>586008.13094771875</v>
      </c>
      <c r="AG35" s="39">
        <f t="shared" si="16"/>
        <v>-233442.54802680382</v>
      </c>
      <c r="AH35" s="39">
        <f t="shared" si="17"/>
        <v>352565.58292091492</v>
      </c>
    </row>
    <row r="36" spans="1:35" x14ac:dyDescent="0.25">
      <c r="A36">
        <v>30</v>
      </c>
      <c r="B36" s="39">
        <f t="shared" si="0"/>
        <v>494849.27571759518</v>
      </c>
      <c r="C36" s="39">
        <f t="shared" si="1"/>
        <v>-392575.00923945173</v>
      </c>
      <c r="D36" s="39">
        <f t="shared" si="3"/>
        <v>102274.26647814346</v>
      </c>
      <c r="G36">
        <v>30</v>
      </c>
      <c r="H36" s="39">
        <f t="shared" si="2"/>
        <v>209110.01724836571</v>
      </c>
      <c r="I36" s="39">
        <f t="shared" si="4"/>
        <v>-157647.07410038644</v>
      </c>
      <c r="J36" s="39">
        <f t="shared" si="5"/>
        <v>51462.943147979269</v>
      </c>
      <c r="M36">
        <v>30</v>
      </c>
      <c r="N36" s="39">
        <f t="shared" si="6"/>
        <v>387649.46780943731</v>
      </c>
      <c r="O36" s="39">
        <f t="shared" si="7"/>
        <v>-274031.21210759535</v>
      </c>
      <c r="P36" s="39">
        <f t="shared" si="8"/>
        <v>113618.25570184196</v>
      </c>
      <c r="S36">
        <v>30</v>
      </c>
      <c r="T36" s="39">
        <f t="shared" si="9"/>
        <v>501501.74093471537</v>
      </c>
      <c r="U36" s="39">
        <f t="shared" si="10"/>
        <v>-326423.00015823013</v>
      </c>
      <c r="V36" s="39">
        <f t="shared" si="11"/>
        <v>175078.74077648524</v>
      </c>
      <c r="Y36">
        <v>30</v>
      </c>
      <c r="Z36" s="39">
        <f t="shared" si="12"/>
        <v>143286.21169563296</v>
      </c>
      <c r="AA36" s="39">
        <f t="shared" si="13"/>
        <v>-93263.714330922885</v>
      </c>
      <c r="AB36" s="39">
        <f t="shared" si="14"/>
        <v>50022.497364710071</v>
      </c>
      <c r="AE36">
        <v>30</v>
      </c>
      <c r="AF36" s="39">
        <f t="shared" si="15"/>
        <v>586008.13094771875</v>
      </c>
      <c r="AG36" s="39">
        <f t="shared" si="16"/>
        <v>-230798.30615489694</v>
      </c>
      <c r="AH36" s="39">
        <f t="shared" si="17"/>
        <v>355209.82479282178</v>
      </c>
    </row>
    <row r="37" spans="1:35" x14ac:dyDescent="0.25">
      <c r="A37">
        <v>31</v>
      </c>
      <c r="B37" s="39">
        <f t="shared" si="0"/>
        <v>494849.27571759518</v>
      </c>
      <c r="C37" s="39">
        <f t="shared" si="1"/>
        <v>-391807.95224086556</v>
      </c>
      <c r="D37" s="39">
        <f t="shared" si="3"/>
        <v>103041.32347672962</v>
      </c>
      <c r="G37">
        <v>31</v>
      </c>
      <c r="H37" s="39">
        <f t="shared" si="2"/>
        <v>209110.01724836571</v>
      </c>
      <c r="I37" s="39">
        <f t="shared" si="4"/>
        <v>-157303.98781273325</v>
      </c>
      <c r="J37" s="39">
        <f t="shared" si="5"/>
        <v>51806.029435632459</v>
      </c>
      <c r="M37">
        <v>31</v>
      </c>
      <c r="N37" s="39">
        <f t="shared" si="6"/>
        <v>387649.46780943731</v>
      </c>
      <c r="O37" s="39">
        <f t="shared" si="7"/>
        <v>-273368.43894933467</v>
      </c>
      <c r="P37" s="39">
        <f t="shared" si="8"/>
        <v>114281.02886010264</v>
      </c>
      <c r="S37">
        <v>31</v>
      </c>
      <c r="T37" s="39">
        <f t="shared" si="9"/>
        <v>501501.74093471537</v>
      </c>
      <c r="U37" s="39">
        <f t="shared" si="10"/>
        <v>-325547.60645434773</v>
      </c>
      <c r="V37" s="39">
        <f t="shared" si="11"/>
        <v>175954.13448036765</v>
      </c>
      <c r="Y37">
        <v>31</v>
      </c>
      <c r="Z37" s="39">
        <f t="shared" si="12"/>
        <v>143286.21169563296</v>
      </c>
      <c r="AA37" s="39">
        <f t="shared" si="13"/>
        <v>-93013.60184409935</v>
      </c>
      <c r="AB37" s="39">
        <f t="shared" si="14"/>
        <v>50272.609851533605</v>
      </c>
      <c r="AE37">
        <v>31</v>
      </c>
      <c r="AF37" s="39">
        <f t="shared" si="15"/>
        <v>586008.13094771875</v>
      </c>
      <c r="AG37" s="39">
        <f t="shared" si="16"/>
        <v>-228134.23246895077</v>
      </c>
      <c r="AH37" s="39">
        <f t="shared" si="17"/>
        <v>357873.89847876795</v>
      </c>
    </row>
    <row r="38" spans="1:35" x14ac:dyDescent="0.25">
      <c r="A38">
        <v>32</v>
      </c>
      <c r="B38" s="39">
        <f t="shared" si="0"/>
        <v>494849.27571759518</v>
      </c>
      <c r="C38" s="39">
        <f t="shared" si="1"/>
        <v>-391035.14231479017</v>
      </c>
      <c r="D38" s="39">
        <f t="shared" si="3"/>
        <v>103814.13340280502</v>
      </c>
      <c r="G38">
        <v>32</v>
      </c>
      <c r="H38" s="39">
        <f t="shared" si="2"/>
        <v>209110.01724836571</v>
      </c>
      <c r="I38" s="39">
        <f t="shared" si="4"/>
        <v>-156958.61428316237</v>
      </c>
      <c r="J38" s="39">
        <f t="shared" si="5"/>
        <v>52151.402965203335</v>
      </c>
      <c r="M38">
        <v>32</v>
      </c>
      <c r="N38" s="39">
        <f t="shared" si="6"/>
        <v>387649.46780943731</v>
      </c>
      <c r="O38" s="39">
        <f t="shared" si="7"/>
        <v>-272701.79961431731</v>
      </c>
      <c r="P38" s="39">
        <f t="shared" si="8"/>
        <v>114947.66819512</v>
      </c>
      <c r="S38">
        <v>32</v>
      </c>
      <c r="T38" s="39">
        <f t="shared" si="9"/>
        <v>501501.74093471537</v>
      </c>
      <c r="U38" s="39">
        <f t="shared" si="10"/>
        <v>-324667.83578194591</v>
      </c>
      <c r="V38" s="39">
        <f t="shared" si="11"/>
        <v>176833.90515276947</v>
      </c>
      <c r="Y38">
        <v>32</v>
      </c>
      <c r="Z38" s="39">
        <f t="shared" si="12"/>
        <v>143286.21169563296</v>
      </c>
      <c r="AA38" s="39">
        <f t="shared" si="13"/>
        <v>-92762.238794841687</v>
      </c>
      <c r="AB38" s="39">
        <f t="shared" si="14"/>
        <v>50523.972900791268</v>
      </c>
      <c r="AE38">
        <v>32</v>
      </c>
      <c r="AF38" s="39">
        <f t="shared" si="15"/>
        <v>586008.13094771875</v>
      </c>
      <c r="AG38" s="39">
        <f t="shared" si="16"/>
        <v>-225450.17823036</v>
      </c>
      <c r="AH38" s="39">
        <f t="shared" si="17"/>
        <v>360557.95271735871</v>
      </c>
    </row>
    <row r="39" spans="1:35" x14ac:dyDescent="0.25">
      <c r="A39">
        <v>33</v>
      </c>
      <c r="B39" s="39">
        <f t="shared" ref="B39:B66" si="18">$C$4</f>
        <v>494849.27571759518</v>
      </c>
      <c r="C39" s="39">
        <f t="shared" ref="C39:C66" si="19">IPMT($C$3/12,A39,$C$2,($C$1))</f>
        <v>-390256.536314269</v>
      </c>
      <c r="D39" s="39">
        <f t="shared" si="3"/>
        <v>104592.73940332618</v>
      </c>
      <c r="G39">
        <v>33</v>
      </c>
      <c r="H39" s="39">
        <f t="shared" ref="H39:H66" si="20">$I$4</f>
        <v>209110.01724836571</v>
      </c>
      <c r="I39" s="39">
        <f t="shared" si="4"/>
        <v>-156610.93826339432</v>
      </c>
      <c r="J39" s="39">
        <f t="shared" si="5"/>
        <v>52499.078984971391</v>
      </c>
      <c r="M39">
        <v>33</v>
      </c>
      <c r="N39" s="39">
        <f t="shared" si="6"/>
        <v>387649.46780943731</v>
      </c>
      <c r="O39" s="39">
        <f t="shared" si="7"/>
        <v>-272031.27154984581</v>
      </c>
      <c r="P39" s="39">
        <f t="shared" si="8"/>
        <v>115618.1962595915</v>
      </c>
      <c r="S39">
        <v>33</v>
      </c>
      <c r="T39" s="39">
        <f t="shared" si="9"/>
        <v>501501.74093471537</v>
      </c>
      <c r="U39" s="39">
        <f t="shared" si="10"/>
        <v>-323783.66625618201</v>
      </c>
      <c r="V39" s="39">
        <f t="shared" si="11"/>
        <v>177718.07467853336</v>
      </c>
      <c r="Y39">
        <v>33</v>
      </c>
      <c r="Z39" s="39">
        <f t="shared" si="12"/>
        <v>143286.21169563296</v>
      </c>
      <c r="AA39" s="39">
        <f t="shared" si="13"/>
        <v>-92509.618930337703</v>
      </c>
      <c r="AB39" s="39">
        <f t="shared" si="14"/>
        <v>50776.592765295252</v>
      </c>
      <c r="AE39">
        <v>33</v>
      </c>
      <c r="AF39" s="39">
        <f t="shared" si="15"/>
        <v>586008.13094771875</v>
      </c>
      <c r="AG39" s="39">
        <f t="shared" si="16"/>
        <v>-222745.99358497985</v>
      </c>
      <c r="AH39" s="39">
        <f t="shared" si="17"/>
        <v>363262.1373627389</v>
      </c>
    </row>
    <row r="40" spans="1:35" x14ac:dyDescent="0.25">
      <c r="A40">
        <v>34</v>
      </c>
      <c r="B40" s="39">
        <f t="shared" si="18"/>
        <v>494849.27571759518</v>
      </c>
      <c r="C40" s="39">
        <f t="shared" si="19"/>
        <v>-389472.09076874412</v>
      </c>
      <c r="D40" s="39">
        <f t="shared" si="3"/>
        <v>105377.18494885106</v>
      </c>
      <c r="G40">
        <v>34</v>
      </c>
      <c r="H40" s="39">
        <f t="shared" si="20"/>
        <v>209110.01724836571</v>
      </c>
      <c r="I40" s="39">
        <f t="shared" si="4"/>
        <v>-156260.94440349453</v>
      </c>
      <c r="J40" s="39">
        <f t="shared" si="5"/>
        <v>52849.072844871174</v>
      </c>
      <c r="M40">
        <v>34</v>
      </c>
      <c r="N40" s="39">
        <f t="shared" si="6"/>
        <v>387649.46780943731</v>
      </c>
      <c r="O40" s="39">
        <f t="shared" ref="O40:O66" si="21">IPMT($O$3/12,G40,$O$2,($O$1))</f>
        <v>-271356.83207166486</v>
      </c>
      <c r="P40" s="39">
        <f t="shared" si="8"/>
        <v>116292.63573777245</v>
      </c>
      <c r="S40">
        <v>34</v>
      </c>
      <c r="T40" s="39">
        <f t="shared" si="9"/>
        <v>501501.74093471537</v>
      </c>
      <c r="U40" s="39">
        <f t="shared" si="10"/>
        <v>-322895.07588278939</v>
      </c>
      <c r="V40" s="39">
        <f t="shared" si="11"/>
        <v>178606.66505192599</v>
      </c>
      <c r="Y40">
        <v>34</v>
      </c>
      <c r="Z40" s="39">
        <f t="shared" si="12"/>
        <v>143286.21169563296</v>
      </c>
      <c r="AA40" s="39">
        <f t="shared" si="13"/>
        <v>-92255.73596651126</v>
      </c>
      <c r="AB40" s="39">
        <f t="shared" si="14"/>
        <v>51030.475729121696</v>
      </c>
      <c r="AE40">
        <v>34</v>
      </c>
      <c r="AF40" s="39">
        <f t="shared" si="15"/>
        <v>586008.13094771875</v>
      </c>
      <c r="AG40" s="39">
        <f t="shared" si="16"/>
        <v>-220021.52755475929</v>
      </c>
      <c r="AH40" s="39">
        <f t="shared" si="17"/>
        <v>365986.60339295946</v>
      </c>
    </row>
    <row r="41" spans="1:35" x14ac:dyDescent="0.25">
      <c r="A41">
        <v>35</v>
      </c>
      <c r="B41" s="39">
        <f t="shared" si="18"/>
        <v>494849.27571759518</v>
      </c>
      <c r="C41" s="39">
        <f t="shared" si="19"/>
        <v>-388681.76188162778</v>
      </c>
      <c r="D41" s="39">
        <f t="shared" si="3"/>
        <v>106167.5138359674</v>
      </c>
      <c r="G41">
        <v>35</v>
      </c>
      <c r="H41" s="39">
        <f t="shared" si="20"/>
        <v>209110.01724836571</v>
      </c>
      <c r="I41" s="39">
        <f t="shared" si="4"/>
        <v>-155908.61725119539</v>
      </c>
      <c r="J41" s="39">
        <f t="shared" si="5"/>
        <v>53201.399997170316</v>
      </c>
      <c r="M41">
        <v>35</v>
      </c>
      <c r="N41" s="39">
        <f t="shared" si="6"/>
        <v>387649.46780943731</v>
      </c>
      <c r="O41" s="39">
        <f t="shared" si="21"/>
        <v>-270678.45836319454</v>
      </c>
      <c r="P41" s="39">
        <f t="shared" si="8"/>
        <v>116971.00944624277</v>
      </c>
      <c r="S41">
        <v>35</v>
      </c>
      <c r="T41" s="39">
        <f t="shared" si="9"/>
        <v>501501.74093471537</v>
      </c>
      <c r="U41" s="39">
        <f t="shared" si="10"/>
        <v>-322002.04255752976</v>
      </c>
      <c r="V41" s="39">
        <f t="shared" si="11"/>
        <v>179499.69837718562</v>
      </c>
      <c r="Y41">
        <v>35</v>
      </c>
      <c r="Z41" s="39">
        <f t="shared" si="12"/>
        <v>143286.21169563296</v>
      </c>
      <c r="AA41" s="39">
        <f t="shared" si="13"/>
        <v>-92000.583587865651</v>
      </c>
      <c r="AB41" s="39">
        <f t="shared" si="14"/>
        <v>51285.628107767305</v>
      </c>
      <c r="AE41">
        <v>35</v>
      </c>
      <c r="AF41" s="39">
        <f t="shared" si="15"/>
        <v>586008.13094771875</v>
      </c>
      <c r="AG41" s="39">
        <f t="shared" si="16"/>
        <v>-217276.62802931209</v>
      </c>
      <c r="AH41" s="39">
        <f t="shared" si="17"/>
        <v>368731.50291840662</v>
      </c>
    </row>
    <row r="42" spans="1:35" x14ac:dyDescent="0.25">
      <c r="A42">
        <v>36</v>
      </c>
      <c r="B42" s="39">
        <f t="shared" si="18"/>
        <v>494849.27571759518</v>
      </c>
      <c r="C42" s="39">
        <f t="shared" si="19"/>
        <v>-387885.50552785804</v>
      </c>
      <c r="D42" s="39">
        <f t="shared" si="3"/>
        <v>106963.77018973714</v>
      </c>
      <c r="E42" s="39">
        <f>SUM(C31:C42)</f>
        <v>-4705896.5270183189</v>
      </c>
      <c r="G42">
        <v>36</v>
      </c>
      <c r="H42" s="39">
        <f t="shared" si="20"/>
        <v>209110.01724836571</v>
      </c>
      <c r="I42" s="39">
        <f t="shared" si="4"/>
        <v>-155553.94125121424</v>
      </c>
      <c r="J42" s="39">
        <f t="shared" si="5"/>
        <v>53556.075997151464</v>
      </c>
      <c r="K42" s="39">
        <f>SUM(I31:I42)</f>
        <v>-1889546.7834270396</v>
      </c>
      <c r="M42">
        <v>36</v>
      </c>
      <c r="N42" s="39">
        <f t="shared" si="6"/>
        <v>387649.46780943731</v>
      </c>
      <c r="O42" s="39">
        <f t="shared" si="21"/>
        <v>-269996.12747475813</v>
      </c>
      <c r="P42" s="39">
        <f t="shared" si="8"/>
        <v>117653.34033467917</v>
      </c>
      <c r="Q42" s="39">
        <f>SUM(O31:O42)</f>
        <v>-3284128.0441284236</v>
      </c>
      <c r="S42">
        <v>36</v>
      </c>
      <c r="T42" s="39">
        <f t="shared" si="9"/>
        <v>501501.74093471537</v>
      </c>
      <c r="U42" s="39">
        <f t="shared" si="10"/>
        <v>-321104.5440656438</v>
      </c>
      <c r="V42" s="39">
        <f t="shared" si="11"/>
        <v>180397.19686907157</v>
      </c>
      <c r="W42" s="39">
        <f>SUM(U31:U42)</f>
        <v>-3911518.0018734066</v>
      </c>
      <c r="Y42">
        <v>36</v>
      </c>
      <c r="Z42" s="39">
        <f t="shared" si="12"/>
        <v>143286.21169563296</v>
      </c>
      <c r="AA42" s="39">
        <f t="shared" si="13"/>
        <v>-91744.155447326804</v>
      </c>
      <c r="AB42" s="39">
        <f t="shared" si="14"/>
        <v>51542.056248306151</v>
      </c>
      <c r="AC42" s="39">
        <f>SUM(AA31:AA42)</f>
        <v>-1117576.5719638306</v>
      </c>
      <c r="AE42">
        <v>36</v>
      </c>
      <c r="AF42" s="39">
        <f t="shared" si="15"/>
        <v>586008.13094771875</v>
      </c>
      <c r="AG42" s="39">
        <f t="shared" si="16"/>
        <v>-214511.14175742408</v>
      </c>
      <c r="AH42" s="39">
        <f t="shared" si="17"/>
        <v>371496.98919029464</v>
      </c>
      <c r="AI42" s="39">
        <f>SUM(AG31:AG42)</f>
        <v>-2752201.6744292923</v>
      </c>
    </row>
    <row r="43" spans="1:35" x14ac:dyDescent="0.25">
      <c r="A43">
        <v>37</v>
      </c>
      <c r="B43" s="39">
        <f t="shared" si="18"/>
        <v>494849.27571759518</v>
      </c>
      <c r="C43" s="39">
        <f t="shared" si="19"/>
        <v>-387083.27725143498</v>
      </c>
      <c r="D43" s="39">
        <f t="shared" si="3"/>
        <v>107765.99846616021</v>
      </c>
      <c r="E43" s="39">
        <f>SUM(D31:D42)</f>
        <v>1232294.7815928233</v>
      </c>
      <c r="G43">
        <v>37</v>
      </c>
      <c r="H43" s="39">
        <f t="shared" si="20"/>
        <v>209110.01724836571</v>
      </c>
      <c r="I43" s="39">
        <f t="shared" si="4"/>
        <v>-155196.90074456655</v>
      </c>
      <c r="J43" s="39">
        <f t="shared" si="5"/>
        <v>53913.11650379916</v>
      </c>
      <c r="K43" s="39">
        <f>SUM(J31:J42)</f>
        <v>619773.42355334887</v>
      </c>
      <c r="M43">
        <v>37</v>
      </c>
      <c r="N43" s="39">
        <f t="shared" si="6"/>
        <v>387649.46780943731</v>
      </c>
      <c r="O43" s="39">
        <f t="shared" si="21"/>
        <v>-269309.81632280583</v>
      </c>
      <c r="P43" s="39">
        <f t="shared" si="8"/>
        <v>118339.65148663148</v>
      </c>
      <c r="Q43" s="39">
        <f>SUM(P31:P42)</f>
        <v>1367665.5695848248</v>
      </c>
      <c r="S43">
        <v>37</v>
      </c>
      <c r="T43" s="39">
        <f t="shared" si="9"/>
        <v>501501.74093471537</v>
      </c>
      <c r="U43" s="39">
        <f t="shared" si="10"/>
        <v>-320202.55808129843</v>
      </c>
      <c r="V43" s="39">
        <f t="shared" si="11"/>
        <v>181299.18285341695</v>
      </c>
      <c r="W43" s="39">
        <f>SUM(V31:V42)</f>
        <v>2106502.8893431774</v>
      </c>
      <c r="Y43">
        <v>37</v>
      </c>
      <c r="Z43" s="39">
        <f t="shared" si="12"/>
        <v>143286.21169563296</v>
      </c>
      <c r="AA43" s="39">
        <f t="shared" si="13"/>
        <v>-91486.445166085265</v>
      </c>
      <c r="AB43" s="39">
        <f t="shared" si="14"/>
        <v>51799.766529547691</v>
      </c>
      <c r="AC43" s="39">
        <f>SUM(AB31:AB42)</f>
        <v>601857.96838376496</v>
      </c>
      <c r="AE43">
        <v>37</v>
      </c>
      <c r="AF43" s="39">
        <f t="shared" si="15"/>
        <v>586008.13094771875</v>
      </c>
      <c r="AG43" s="39">
        <f t="shared" si="16"/>
        <v>-211724.91433849683</v>
      </c>
      <c r="AH43" s="39">
        <f t="shared" si="17"/>
        <v>374283.21660922188</v>
      </c>
      <c r="AI43" s="39">
        <f>SUM(AH31:AH42)</f>
        <v>4279895.8969433326</v>
      </c>
    </row>
    <row r="44" spans="1:35" x14ac:dyDescent="0.25">
      <c r="A44">
        <v>38</v>
      </c>
      <c r="B44" s="39">
        <f t="shared" si="18"/>
        <v>494849.27571759518</v>
      </c>
      <c r="C44" s="39">
        <f t="shared" si="19"/>
        <v>-386275.0322629388</v>
      </c>
      <c r="D44" s="39">
        <f t="shared" si="3"/>
        <v>108574.24345465639</v>
      </c>
      <c r="E44" s="39">
        <f>E43-E42</f>
        <v>5938191.3086111424</v>
      </c>
      <c r="G44">
        <v>38</v>
      </c>
      <c r="H44" s="39">
        <f t="shared" si="20"/>
        <v>209110.01724836571</v>
      </c>
      <c r="I44" s="39">
        <f t="shared" si="4"/>
        <v>-154837.47996787456</v>
      </c>
      <c r="J44" s="39">
        <f t="shared" si="5"/>
        <v>54272.537280491146</v>
      </c>
      <c r="K44" s="39">
        <f>K43-K42</f>
        <v>2509320.2069803886</v>
      </c>
      <c r="M44">
        <v>38</v>
      </c>
      <c r="N44" s="39">
        <f t="shared" si="6"/>
        <v>387649.46780943731</v>
      </c>
      <c r="O44" s="39">
        <f t="shared" si="21"/>
        <v>-268619.50168913382</v>
      </c>
      <c r="P44" s="39">
        <f t="shared" si="8"/>
        <v>119029.96612030349</v>
      </c>
      <c r="S44">
        <v>38</v>
      </c>
      <c r="T44" s="39">
        <f t="shared" si="9"/>
        <v>501501.74093471537</v>
      </c>
      <c r="U44" s="39">
        <f t="shared" si="10"/>
        <v>-319296.06216703134</v>
      </c>
      <c r="V44" s="39">
        <f t="shared" si="11"/>
        <v>182205.67876768403</v>
      </c>
      <c r="Y44">
        <v>38</v>
      </c>
      <c r="Z44" s="39">
        <f t="shared" si="12"/>
        <v>143286.21169563296</v>
      </c>
      <c r="AA44" s="39">
        <f t="shared" si="13"/>
        <v>-91227.446333437532</v>
      </c>
      <c r="AB44" s="39">
        <f t="shared" si="14"/>
        <v>52058.765362195423</v>
      </c>
      <c r="AE44">
        <v>38</v>
      </c>
      <c r="AF44" s="39">
        <f t="shared" si="15"/>
        <v>586008.13094771875</v>
      </c>
      <c r="AG44" s="39">
        <f t="shared" si="16"/>
        <v>-208917.79021392763</v>
      </c>
      <c r="AH44" s="39">
        <f t="shared" si="17"/>
        <v>377090.34073379112</v>
      </c>
    </row>
    <row r="45" spans="1:35" x14ac:dyDescent="0.25">
      <c r="A45">
        <v>39</v>
      </c>
      <c r="B45" s="39">
        <f t="shared" si="18"/>
        <v>494849.27571759518</v>
      </c>
      <c r="C45" s="39">
        <f t="shared" si="19"/>
        <v>-385460.7254370288</v>
      </c>
      <c r="D45" s="39">
        <f t="shared" si="3"/>
        <v>109388.55028056639</v>
      </c>
      <c r="G45">
        <v>39</v>
      </c>
      <c r="H45" s="39">
        <f t="shared" si="20"/>
        <v>209110.01724836571</v>
      </c>
      <c r="I45" s="39">
        <f t="shared" si="4"/>
        <v>-154475.66305267133</v>
      </c>
      <c r="J45" s="39">
        <f t="shared" si="5"/>
        <v>54634.354195694381</v>
      </c>
      <c r="M45">
        <v>39</v>
      </c>
      <c r="N45" s="39">
        <f t="shared" si="6"/>
        <v>387649.46780943731</v>
      </c>
      <c r="O45" s="39">
        <f t="shared" si="21"/>
        <v>-267925.16022009868</v>
      </c>
      <c r="P45" s="39">
        <f t="shared" si="8"/>
        <v>119724.30758933863</v>
      </c>
      <c r="S45">
        <v>39</v>
      </c>
      <c r="T45" s="39">
        <f t="shared" si="9"/>
        <v>501501.74093471537</v>
      </c>
      <c r="U45" s="39">
        <f t="shared" si="10"/>
        <v>-318385.03377319296</v>
      </c>
      <c r="V45" s="39">
        <f t="shared" si="11"/>
        <v>183116.70716152241</v>
      </c>
      <c r="Y45">
        <v>39</v>
      </c>
      <c r="Z45" s="39">
        <f t="shared" si="12"/>
        <v>143286.21169563296</v>
      </c>
      <c r="AA45" s="39">
        <f t="shared" si="13"/>
        <v>-90967.15250662656</v>
      </c>
      <c r="AB45" s="39">
        <f t="shared" si="14"/>
        <v>52319.059189006395</v>
      </c>
      <c r="AE45">
        <v>39</v>
      </c>
      <c r="AF45" s="39">
        <f t="shared" si="15"/>
        <v>586008.13094771875</v>
      </c>
      <c r="AG45" s="39">
        <f t="shared" si="16"/>
        <v>-206089.61265842422</v>
      </c>
      <c r="AH45" s="39">
        <f t="shared" si="17"/>
        <v>379918.51828929456</v>
      </c>
    </row>
    <row r="46" spans="1:35" x14ac:dyDescent="0.25">
      <c r="A46">
        <v>40</v>
      </c>
      <c r="B46" s="39">
        <f t="shared" si="18"/>
        <v>494849.27571759518</v>
      </c>
      <c r="C46" s="39">
        <f t="shared" si="19"/>
        <v>-384640.31130992464</v>
      </c>
      <c r="D46" s="39">
        <f t="shared" si="3"/>
        <v>110208.96440767054</v>
      </c>
      <c r="G46">
        <v>40</v>
      </c>
      <c r="H46" s="39">
        <f t="shared" si="20"/>
        <v>209110.01724836571</v>
      </c>
      <c r="I46" s="39">
        <f t="shared" si="4"/>
        <v>-154111.43402470002</v>
      </c>
      <c r="J46" s="39">
        <f t="shared" si="5"/>
        <v>54998.583223665686</v>
      </c>
      <c r="M46">
        <v>40</v>
      </c>
      <c r="N46" s="39">
        <f t="shared" si="6"/>
        <v>387649.46780943731</v>
      </c>
      <c r="O46" s="39">
        <f t="shared" si="21"/>
        <v>-267226.76842582755</v>
      </c>
      <c r="P46" s="39">
        <f t="shared" si="8"/>
        <v>120422.69938360975</v>
      </c>
      <c r="S46">
        <v>40</v>
      </c>
      <c r="T46" s="39">
        <f t="shared" si="9"/>
        <v>501501.74093471537</v>
      </c>
      <c r="U46" s="39">
        <f t="shared" si="10"/>
        <v>-317469.45023738535</v>
      </c>
      <c r="V46" s="39">
        <f t="shared" si="11"/>
        <v>184032.29069733003</v>
      </c>
      <c r="Y46">
        <v>40</v>
      </c>
      <c r="Z46" s="39">
        <f t="shared" si="12"/>
        <v>143286.21169563296</v>
      </c>
      <c r="AA46" s="39">
        <f t="shared" si="13"/>
        <v>-90705.557210681509</v>
      </c>
      <c r="AB46" s="39">
        <f t="shared" si="14"/>
        <v>52580.654484951447</v>
      </c>
      <c r="AE46">
        <v>40</v>
      </c>
      <c r="AF46" s="39">
        <f t="shared" si="15"/>
        <v>586008.13094771875</v>
      </c>
      <c r="AG46" s="39">
        <f t="shared" si="16"/>
        <v>-203240.2237712545</v>
      </c>
      <c r="AH46" s="39">
        <f t="shared" si="17"/>
        <v>382767.90717646421</v>
      </c>
    </row>
    <row r="47" spans="1:35" x14ac:dyDescent="0.25">
      <c r="A47">
        <v>41</v>
      </c>
      <c r="B47" s="39">
        <f t="shared" si="18"/>
        <v>494849.27571759518</v>
      </c>
      <c r="C47" s="39">
        <f t="shared" si="19"/>
        <v>-383813.74407686706</v>
      </c>
      <c r="D47" s="39">
        <f t="shared" si="3"/>
        <v>111035.53164072812</v>
      </c>
      <c r="G47">
        <v>41</v>
      </c>
      <c r="H47" s="39">
        <f t="shared" si="20"/>
        <v>209110.01724836571</v>
      </c>
      <c r="I47" s="39">
        <f t="shared" si="4"/>
        <v>-153744.77680320889</v>
      </c>
      <c r="J47" s="39">
        <f t="shared" si="5"/>
        <v>55365.240445156815</v>
      </c>
      <c r="M47">
        <v>41</v>
      </c>
      <c r="N47" s="39">
        <f t="shared" si="6"/>
        <v>387649.46780943731</v>
      </c>
      <c r="O47" s="39">
        <f t="shared" si="21"/>
        <v>-266524.30267942318</v>
      </c>
      <c r="P47" s="39">
        <f t="shared" si="8"/>
        <v>121125.16513001412</v>
      </c>
      <c r="S47">
        <v>41</v>
      </c>
      <c r="T47" s="39">
        <f t="shared" si="9"/>
        <v>501501.74093471537</v>
      </c>
      <c r="U47" s="39">
        <f t="shared" si="10"/>
        <v>-316549.28878389869</v>
      </c>
      <c r="V47" s="39">
        <f t="shared" si="11"/>
        <v>184952.45215081668</v>
      </c>
      <c r="Y47">
        <v>41</v>
      </c>
      <c r="Z47" s="39">
        <f t="shared" si="12"/>
        <v>143286.21169563296</v>
      </c>
      <c r="AA47" s="39">
        <f t="shared" si="13"/>
        <v>-90442.653938256772</v>
      </c>
      <c r="AB47" s="39">
        <f t="shared" si="14"/>
        <v>52843.557757376184</v>
      </c>
      <c r="AE47">
        <v>41</v>
      </c>
      <c r="AF47" s="39">
        <f t="shared" si="15"/>
        <v>586008.13094771875</v>
      </c>
      <c r="AG47" s="39">
        <f t="shared" si="16"/>
        <v>-200369.46446743104</v>
      </c>
      <c r="AH47" s="39">
        <f t="shared" si="17"/>
        <v>385638.66648028768</v>
      </c>
    </row>
    <row r="48" spans="1:35" x14ac:dyDescent="0.25">
      <c r="A48">
        <v>42</v>
      </c>
      <c r="B48" s="39">
        <f t="shared" si="18"/>
        <v>494849.27571759518</v>
      </c>
      <c r="C48" s="39">
        <f t="shared" si="19"/>
        <v>-382980.9775895616</v>
      </c>
      <c r="D48" s="39">
        <f t="shared" si="3"/>
        <v>111868.29812803358</v>
      </c>
      <c r="G48">
        <v>42</v>
      </c>
      <c r="H48" s="39">
        <f t="shared" si="20"/>
        <v>209110.01724836571</v>
      </c>
      <c r="I48" s="39">
        <f t="shared" si="4"/>
        <v>-153375.67520024118</v>
      </c>
      <c r="J48" s="39">
        <f t="shared" si="5"/>
        <v>55734.342048124527</v>
      </c>
      <c r="M48">
        <v>42</v>
      </c>
      <c r="N48" s="39">
        <f t="shared" si="6"/>
        <v>387649.46780943731</v>
      </c>
      <c r="O48" s="39">
        <f t="shared" si="21"/>
        <v>-265817.73921616474</v>
      </c>
      <c r="P48" s="39">
        <f t="shared" si="8"/>
        <v>121831.72859327256</v>
      </c>
      <c r="S48">
        <v>42</v>
      </c>
      <c r="T48" s="39">
        <f t="shared" si="9"/>
        <v>501501.74093471537</v>
      </c>
      <c r="U48" s="39">
        <f t="shared" si="10"/>
        <v>-315624.52652314457</v>
      </c>
      <c r="V48" s="39">
        <f t="shared" si="11"/>
        <v>185877.21441157081</v>
      </c>
      <c r="Y48">
        <v>42</v>
      </c>
      <c r="Z48" s="39">
        <f t="shared" si="12"/>
        <v>143286.21169563296</v>
      </c>
      <c r="AA48" s="39">
        <f t="shared" si="13"/>
        <v>-90178.436149469882</v>
      </c>
      <c r="AB48" s="39">
        <f t="shared" si="14"/>
        <v>53107.775546163073</v>
      </c>
      <c r="AE48">
        <v>42</v>
      </c>
      <c r="AF48" s="39">
        <f t="shared" si="15"/>
        <v>586008.13094771875</v>
      </c>
      <c r="AG48" s="39">
        <f t="shared" si="16"/>
        <v>-197477.17446882889</v>
      </c>
      <c r="AH48" s="39">
        <f t="shared" si="17"/>
        <v>388530.95647888986</v>
      </c>
    </row>
    <row r="49" spans="1:35" x14ac:dyDescent="0.25">
      <c r="A49">
        <v>43</v>
      </c>
      <c r="B49" s="39">
        <f t="shared" si="18"/>
        <v>494849.27571759518</v>
      </c>
      <c r="C49" s="39">
        <f t="shared" si="19"/>
        <v>-382141.96535360138</v>
      </c>
      <c r="D49" s="39">
        <f t="shared" si="3"/>
        <v>112707.31036399381</v>
      </c>
      <c r="G49">
        <v>43</v>
      </c>
      <c r="H49" s="39">
        <f t="shared" si="20"/>
        <v>209110.01724836571</v>
      </c>
      <c r="I49" s="39">
        <f t="shared" si="4"/>
        <v>-153004.11291992036</v>
      </c>
      <c r="J49" s="39">
        <f t="shared" si="5"/>
        <v>56105.904328445351</v>
      </c>
      <c r="M49">
        <v>43</v>
      </c>
      <c r="N49" s="39">
        <f t="shared" si="6"/>
        <v>387649.46780943731</v>
      </c>
      <c r="O49" s="39">
        <f t="shared" si="21"/>
        <v>-265107.05413270398</v>
      </c>
      <c r="P49" s="39">
        <f t="shared" si="8"/>
        <v>122542.41367673333</v>
      </c>
      <c r="S49">
        <v>43</v>
      </c>
      <c r="T49" s="39">
        <f t="shared" si="9"/>
        <v>501501.74093471537</v>
      </c>
      <c r="U49" s="39">
        <f t="shared" si="10"/>
        <v>-314695.14045108674</v>
      </c>
      <c r="V49" s="39">
        <f t="shared" si="11"/>
        <v>186806.60048362863</v>
      </c>
      <c r="Y49">
        <v>43</v>
      </c>
      <c r="Z49" s="39">
        <f t="shared" si="12"/>
        <v>143286.21169563296</v>
      </c>
      <c r="AA49" s="39">
        <f t="shared" si="13"/>
        <v>-89912.897271739057</v>
      </c>
      <c r="AB49" s="39">
        <f t="shared" si="14"/>
        <v>53373.314423893898</v>
      </c>
      <c r="AE49">
        <v>43</v>
      </c>
      <c r="AF49" s="39">
        <f t="shared" si="15"/>
        <v>586008.13094771875</v>
      </c>
      <c r="AG49" s="39">
        <f t="shared" si="16"/>
        <v>-194563.19229523718</v>
      </c>
      <c r="AH49" s="39">
        <f t="shared" si="17"/>
        <v>391444.93865248153</v>
      </c>
    </row>
    <row r="50" spans="1:35" x14ac:dyDescent="0.25">
      <c r="A50">
        <v>44</v>
      </c>
      <c r="B50" s="39">
        <f t="shared" si="18"/>
        <v>494849.27571759518</v>
      </c>
      <c r="C50" s="39">
        <f t="shared" si="19"/>
        <v>-381296.66052587138</v>
      </c>
      <c r="D50" s="39">
        <f t="shared" si="3"/>
        <v>113552.6151917238</v>
      </c>
      <c r="G50">
        <v>44</v>
      </c>
      <c r="H50" s="39">
        <f t="shared" si="20"/>
        <v>209110.01724836571</v>
      </c>
      <c r="I50" s="39">
        <f t="shared" si="4"/>
        <v>-152630.07355773074</v>
      </c>
      <c r="J50" s="39">
        <f t="shared" si="5"/>
        <v>56479.943690634973</v>
      </c>
      <c r="M50">
        <v>44</v>
      </c>
      <c r="N50" s="39">
        <f t="shared" si="6"/>
        <v>387649.46780943731</v>
      </c>
      <c r="O50" s="39">
        <f t="shared" si="21"/>
        <v>-264392.22338625643</v>
      </c>
      <c r="P50" s="39">
        <f t="shared" si="8"/>
        <v>123257.24442318088</v>
      </c>
      <c r="S50">
        <v>44</v>
      </c>
      <c r="T50" s="39">
        <f t="shared" si="9"/>
        <v>501501.74093471537</v>
      </c>
      <c r="U50" s="39">
        <f t="shared" si="10"/>
        <v>-313761.10744866863</v>
      </c>
      <c r="V50" s="39">
        <f t="shared" si="11"/>
        <v>187740.63348604675</v>
      </c>
      <c r="Y50">
        <v>44</v>
      </c>
      <c r="Z50" s="39">
        <f t="shared" si="12"/>
        <v>143286.21169563296</v>
      </c>
      <c r="AA50" s="39">
        <f t="shared" si="13"/>
        <v>-89646.030699619601</v>
      </c>
      <c r="AB50" s="39">
        <f t="shared" si="14"/>
        <v>53640.180996013354</v>
      </c>
      <c r="AE50">
        <v>44</v>
      </c>
      <c r="AF50" s="39">
        <f t="shared" si="15"/>
        <v>586008.13094771875</v>
      </c>
      <c r="AG50" s="39">
        <f t="shared" si="16"/>
        <v>-191627.35525534357</v>
      </c>
      <c r="AH50" s="39">
        <f t="shared" si="17"/>
        <v>394380.77569237514</v>
      </c>
    </row>
    <row r="51" spans="1:35" x14ac:dyDescent="0.25">
      <c r="A51">
        <v>45</v>
      </c>
      <c r="B51" s="39">
        <f t="shared" si="18"/>
        <v>494849.27571759518</v>
      </c>
      <c r="C51" s="39">
        <f t="shared" si="19"/>
        <v>-380445.0159119335</v>
      </c>
      <c r="D51" s="39">
        <f t="shared" si="3"/>
        <v>114404.25980566168</v>
      </c>
      <c r="G51">
        <v>45</v>
      </c>
      <c r="H51" s="39">
        <f t="shared" si="20"/>
        <v>209110.01724836571</v>
      </c>
      <c r="I51" s="39">
        <f t="shared" si="4"/>
        <v>-152253.54059979317</v>
      </c>
      <c r="J51" s="39">
        <f t="shared" si="5"/>
        <v>56856.476648572541</v>
      </c>
      <c r="M51">
        <v>45</v>
      </c>
      <c r="N51" s="39">
        <f t="shared" si="6"/>
        <v>387649.46780943731</v>
      </c>
      <c r="O51" s="39">
        <f t="shared" si="21"/>
        <v>-263673.22279378783</v>
      </c>
      <c r="P51" s="39">
        <f t="shared" si="8"/>
        <v>123976.24501564947</v>
      </c>
      <c r="S51">
        <v>45</v>
      </c>
      <c r="T51" s="39">
        <f t="shared" si="9"/>
        <v>501501.74093471537</v>
      </c>
      <c r="U51" s="39">
        <f t="shared" si="10"/>
        <v>-312822.40428123833</v>
      </c>
      <c r="V51" s="39">
        <f t="shared" si="11"/>
        <v>188679.33665347705</v>
      </c>
      <c r="Y51">
        <v>45</v>
      </c>
      <c r="Z51" s="39">
        <f t="shared" si="12"/>
        <v>143286.21169563296</v>
      </c>
      <c r="AA51" s="39">
        <f t="shared" si="13"/>
        <v>-89377.829794639518</v>
      </c>
      <c r="AB51" s="39">
        <f t="shared" si="14"/>
        <v>53908.381900993438</v>
      </c>
      <c r="AE51">
        <v>45</v>
      </c>
      <c r="AF51" s="39">
        <f t="shared" si="15"/>
        <v>586008.13094771875</v>
      </c>
      <c r="AG51" s="39">
        <f t="shared" si="16"/>
        <v>-188669.49943765078</v>
      </c>
      <c r="AH51" s="39">
        <f t="shared" si="17"/>
        <v>397338.63151006796</v>
      </c>
    </row>
    <row r="52" spans="1:35" x14ac:dyDescent="0.25">
      <c r="A52">
        <v>46</v>
      </c>
      <c r="B52" s="39">
        <f t="shared" si="18"/>
        <v>494849.27571759518</v>
      </c>
      <c r="C52" s="39">
        <f t="shared" si="19"/>
        <v>-379586.98396339105</v>
      </c>
      <c r="D52" s="39">
        <f t="shared" si="3"/>
        <v>115262.29175420414</v>
      </c>
      <c r="G52">
        <v>46</v>
      </c>
      <c r="H52" s="39">
        <f t="shared" si="20"/>
        <v>209110.01724836571</v>
      </c>
      <c r="I52" s="39">
        <f t="shared" si="4"/>
        <v>-151874.49742213602</v>
      </c>
      <c r="J52" s="39">
        <f t="shared" si="5"/>
        <v>57235.519826229691</v>
      </c>
      <c r="M52">
        <v>46</v>
      </c>
      <c r="N52" s="39">
        <f t="shared" si="6"/>
        <v>387649.46780943731</v>
      </c>
      <c r="O52" s="39">
        <f t="shared" si="21"/>
        <v>-262950.02803119656</v>
      </c>
      <c r="P52" s="39">
        <f t="shared" si="8"/>
        <v>124699.43977824075</v>
      </c>
      <c r="S52">
        <v>46</v>
      </c>
      <c r="T52" s="39">
        <f t="shared" si="9"/>
        <v>501501.74093471537</v>
      </c>
      <c r="U52" s="39">
        <f t="shared" si="10"/>
        <v>-311879.00759797101</v>
      </c>
      <c r="V52" s="39">
        <f t="shared" si="11"/>
        <v>189622.73333674436</v>
      </c>
      <c r="Y52">
        <v>46</v>
      </c>
      <c r="Z52" s="39">
        <f t="shared" si="12"/>
        <v>143286.21169563296</v>
      </c>
      <c r="AA52" s="39">
        <f t="shared" si="13"/>
        <v>-89108.287885134574</v>
      </c>
      <c r="AB52" s="39">
        <f t="shared" si="14"/>
        <v>54177.923810498381</v>
      </c>
      <c r="AE52">
        <v>46</v>
      </c>
      <c r="AF52" s="39">
        <f t="shared" si="15"/>
        <v>586008.13094771875</v>
      </c>
      <c r="AG52" s="39">
        <f t="shared" si="16"/>
        <v>-185689.45970132528</v>
      </c>
      <c r="AH52" s="39">
        <f t="shared" si="17"/>
        <v>400318.67124639347</v>
      </c>
    </row>
    <row r="53" spans="1:35" x14ac:dyDescent="0.25">
      <c r="A53">
        <v>47</v>
      </c>
      <c r="B53" s="39">
        <f t="shared" si="18"/>
        <v>494849.27571759518</v>
      </c>
      <c r="C53" s="39">
        <f t="shared" si="19"/>
        <v>-378722.51677523449</v>
      </c>
      <c r="D53" s="39">
        <f t="shared" si="3"/>
        <v>116126.7589423607</v>
      </c>
      <c r="G53">
        <v>47</v>
      </c>
      <c r="H53" s="39">
        <f t="shared" si="20"/>
        <v>209110.01724836571</v>
      </c>
      <c r="I53" s="39">
        <f t="shared" si="4"/>
        <v>-151492.92728996114</v>
      </c>
      <c r="J53" s="39">
        <f t="shared" si="5"/>
        <v>57617.089958404569</v>
      </c>
      <c r="M53">
        <v>47</v>
      </c>
      <c r="N53" s="39">
        <f t="shared" si="6"/>
        <v>387649.46780943731</v>
      </c>
      <c r="O53" s="39">
        <f t="shared" si="21"/>
        <v>-262222.61463249015</v>
      </c>
      <c r="P53" s="39">
        <f t="shared" si="8"/>
        <v>125426.85317694716</v>
      </c>
      <c r="S53">
        <v>47</v>
      </c>
      <c r="T53" s="39">
        <f t="shared" si="9"/>
        <v>501501.74093471537</v>
      </c>
      <c r="U53" s="39">
        <f t="shared" si="10"/>
        <v>-310930.89393128728</v>
      </c>
      <c r="V53" s="39">
        <f t="shared" si="11"/>
        <v>190570.84700342809</v>
      </c>
      <c r="Y53">
        <v>47</v>
      </c>
      <c r="Z53" s="39">
        <f t="shared" si="12"/>
        <v>143286.21169563296</v>
      </c>
      <c r="AA53" s="39">
        <f t="shared" si="13"/>
        <v>-88837.398266082091</v>
      </c>
      <c r="AB53" s="39">
        <f t="shared" si="14"/>
        <v>54448.813429550864</v>
      </c>
      <c r="AE53">
        <v>47</v>
      </c>
      <c r="AF53" s="39">
        <f t="shared" si="15"/>
        <v>586008.13094771875</v>
      </c>
      <c r="AG53" s="39">
        <f t="shared" si="16"/>
        <v>-182687.0696669773</v>
      </c>
      <c r="AH53" s="39">
        <f t="shared" si="17"/>
        <v>403321.06128074147</v>
      </c>
    </row>
    <row r="54" spans="1:35" x14ac:dyDescent="0.25">
      <c r="A54">
        <v>48</v>
      </c>
      <c r="B54" s="39">
        <f t="shared" si="18"/>
        <v>494849.27571759518</v>
      </c>
      <c r="C54" s="39">
        <f t="shared" si="19"/>
        <v>-377851.56608316675</v>
      </c>
      <c r="D54" s="39">
        <f t="shared" si="3"/>
        <v>116997.70963442844</v>
      </c>
      <c r="E54" s="39">
        <f>SUM(C43:C54)</f>
        <v>-4590298.7765409546</v>
      </c>
      <c r="G54">
        <v>48</v>
      </c>
      <c r="H54" s="39">
        <f t="shared" si="20"/>
        <v>209110.01724836571</v>
      </c>
      <c r="I54" s="39">
        <f t="shared" si="4"/>
        <v>-151108.81335690513</v>
      </c>
      <c r="J54" s="39">
        <f t="shared" si="5"/>
        <v>58001.20389146058</v>
      </c>
      <c r="K54" s="39">
        <f>SUM(I43:I54)</f>
        <v>-1838105.894939709</v>
      </c>
      <c r="M54">
        <v>48</v>
      </c>
      <c r="N54" s="39">
        <f t="shared" si="6"/>
        <v>387649.46780943731</v>
      </c>
      <c r="O54" s="39">
        <f t="shared" si="21"/>
        <v>-261490.9579889579</v>
      </c>
      <c r="P54" s="39">
        <f t="shared" si="8"/>
        <v>126158.5098204794</v>
      </c>
      <c r="Q54" s="39">
        <f>SUM(O43:O54)</f>
        <v>-3185259.3895188463</v>
      </c>
      <c r="S54">
        <v>48</v>
      </c>
      <c r="T54" s="39">
        <f t="shared" si="9"/>
        <v>501501.74093471537</v>
      </c>
      <c r="U54" s="39">
        <f t="shared" si="10"/>
        <v>-309978.03969627008</v>
      </c>
      <c r="V54" s="39">
        <f t="shared" si="11"/>
        <v>191523.7012384453</v>
      </c>
      <c r="W54" s="39">
        <f>SUM(U43:U54)</f>
        <v>-3781593.5129724727</v>
      </c>
      <c r="Y54">
        <v>48</v>
      </c>
      <c r="Z54" s="39">
        <f t="shared" si="12"/>
        <v>143286.21169563296</v>
      </c>
      <c r="AA54" s="39">
        <f t="shared" si="13"/>
        <v>-88565.15419893431</v>
      </c>
      <c r="AB54" s="39">
        <f t="shared" si="14"/>
        <v>54721.057496698646</v>
      </c>
      <c r="AC54" s="39">
        <f>SUM(AA43:AA54)</f>
        <v>-1080455.2894207065</v>
      </c>
      <c r="AE54">
        <v>48</v>
      </c>
      <c r="AF54" s="39">
        <f t="shared" si="15"/>
        <v>586008.13094771875</v>
      </c>
      <c r="AG54" s="39">
        <f t="shared" si="16"/>
        <v>-179662.16170737176</v>
      </c>
      <c r="AH54" s="39">
        <f t="shared" si="17"/>
        <v>406345.96924034698</v>
      </c>
      <c r="AI54" s="39">
        <f>SUM(AG43:AG54)</f>
        <v>-2350717.9179822695</v>
      </c>
    </row>
    <row r="55" spans="1:35" x14ac:dyDescent="0.25">
      <c r="A55">
        <v>49</v>
      </c>
      <c r="B55" s="39">
        <f t="shared" si="18"/>
        <v>494849.27571759518</v>
      </c>
      <c r="C55" s="39">
        <f t="shared" si="19"/>
        <v>-376974.08326090855</v>
      </c>
      <c r="D55" s="39">
        <f t="shared" si="3"/>
        <v>117875.19245668664</v>
      </c>
      <c r="E55" s="39">
        <f>SUM(D43:D54)</f>
        <v>1347892.5320701876</v>
      </c>
      <c r="G55">
        <v>49</v>
      </c>
      <c r="H55" s="39">
        <f t="shared" si="20"/>
        <v>209110.01724836571</v>
      </c>
      <c r="I55" s="39">
        <f t="shared" si="4"/>
        <v>-150722.13866429537</v>
      </c>
      <c r="J55" s="39">
        <f t="shared" si="5"/>
        <v>58387.878584070335</v>
      </c>
      <c r="K55" s="39">
        <f>SUM(J43:J54)</f>
        <v>671214.31204067927</v>
      </c>
      <c r="M55">
        <v>49</v>
      </c>
      <c r="N55" s="39">
        <f t="shared" si="6"/>
        <v>387649.46780943731</v>
      </c>
      <c r="O55" s="39">
        <f t="shared" si="21"/>
        <v>-260755.03334833847</v>
      </c>
      <c r="P55" s="39">
        <f t="shared" si="8"/>
        <v>126894.43446109883</v>
      </c>
      <c r="Q55" s="39">
        <f>SUM(P43:P54)</f>
        <v>1466534.2241944014</v>
      </c>
      <c r="S55">
        <v>49</v>
      </c>
      <c r="T55" s="39">
        <f t="shared" si="9"/>
        <v>501501.74093471537</v>
      </c>
      <c r="U55" s="39">
        <f t="shared" si="10"/>
        <v>-309020.4211900779</v>
      </c>
      <c r="V55" s="39">
        <f t="shared" si="11"/>
        <v>192481.31974463747</v>
      </c>
      <c r="W55" s="39">
        <f>SUM(V43:V54)</f>
        <v>2236427.3782441108</v>
      </c>
      <c r="Y55">
        <v>49</v>
      </c>
      <c r="Z55" s="39">
        <f t="shared" si="12"/>
        <v>143286.21169563296</v>
      </c>
      <c r="AA55" s="39">
        <f t="shared" si="13"/>
        <v>-88291.548911450824</v>
      </c>
      <c r="AB55" s="39">
        <f t="shared" si="14"/>
        <v>54994.662784182132</v>
      </c>
      <c r="AC55" s="39">
        <f>SUM(AB43:AB54)</f>
        <v>638979.25092688878</v>
      </c>
      <c r="AE55">
        <v>49</v>
      </c>
      <c r="AF55" s="39">
        <f t="shared" si="15"/>
        <v>586008.13094771875</v>
      </c>
      <c r="AG55" s="39">
        <f t="shared" si="16"/>
        <v>-176614.56693806913</v>
      </c>
      <c r="AH55" s="39">
        <f t="shared" si="17"/>
        <v>409393.56400964962</v>
      </c>
      <c r="AI55" s="39">
        <f>SUM(AH43:AH54)</f>
        <v>4681379.6533903554</v>
      </c>
    </row>
    <row r="56" spans="1:35" x14ac:dyDescent="0.25">
      <c r="A56">
        <v>50</v>
      </c>
      <c r="B56" s="39">
        <f t="shared" si="18"/>
        <v>494849.27571759518</v>
      </c>
      <c r="C56" s="39">
        <f t="shared" si="19"/>
        <v>-376090.01931748341</v>
      </c>
      <c r="D56" s="39">
        <f t="shared" si="3"/>
        <v>118759.25640011177</v>
      </c>
      <c r="G56">
        <v>50</v>
      </c>
      <c r="H56" s="39">
        <f t="shared" si="20"/>
        <v>209110.01724836571</v>
      </c>
      <c r="I56" s="39">
        <f t="shared" si="4"/>
        <v>-150332.88614040156</v>
      </c>
      <c r="J56" s="39">
        <f t="shared" si="5"/>
        <v>58777.131107964145</v>
      </c>
      <c r="M56">
        <v>50</v>
      </c>
      <c r="N56" s="39">
        <f t="shared" si="6"/>
        <v>387649.46780943731</v>
      </c>
      <c r="O56" s="39">
        <f t="shared" si="21"/>
        <v>-260014.81581398204</v>
      </c>
      <c r="P56" s="39">
        <f t="shared" si="8"/>
        <v>127634.65199545526</v>
      </c>
      <c r="S56">
        <v>50</v>
      </c>
      <c r="T56" s="39">
        <f t="shared" si="9"/>
        <v>501501.74093471537</v>
      </c>
      <c r="U56" s="39">
        <f t="shared" si="10"/>
        <v>-308058.0145913547</v>
      </c>
      <c r="V56" s="39">
        <f t="shared" si="11"/>
        <v>193443.72634336067</v>
      </c>
      <c r="Y56">
        <v>50</v>
      </c>
      <c r="Z56" s="39">
        <f t="shared" si="12"/>
        <v>143286.21169563296</v>
      </c>
      <c r="AA56" s="39">
        <f t="shared" si="13"/>
        <v>-88016.575597529911</v>
      </c>
      <c r="AB56" s="39">
        <f t="shared" si="14"/>
        <v>55269.636098103045</v>
      </c>
      <c r="AE56">
        <v>50</v>
      </c>
      <c r="AF56" s="39">
        <f t="shared" si="15"/>
        <v>586008.13094771875</v>
      </c>
      <c r="AG56" s="39">
        <f t="shared" si="16"/>
        <v>-173544.1152079968</v>
      </c>
      <c r="AH56" s="39">
        <f t="shared" si="17"/>
        <v>412464.01573972194</v>
      </c>
    </row>
    <row r="57" spans="1:35" x14ac:dyDescent="0.25">
      <c r="A57">
        <v>51</v>
      </c>
      <c r="B57" s="39">
        <f t="shared" si="18"/>
        <v>494849.27571759518</v>
      </c>
      <c r="C57" s="39">
        <f t="shared" si="19"/>
        <v>-375199.32489448256</v>
      </c>
      <c r="D57" s="39">
        <f t="shared" si="3"/>
        <v>119649.95082311262</v>
      </c>
      <c r="G57">
        <v>51</v>
      </c>
      <c r="H57" s="39">
        <f t="shared" si="20"/>
        <v>209110.01724836571</v>
      </c>
      <c r="I57" s="39">
        <f t="shared" si="4"/>
        <v>-149941.03859968181</v>
      </c>
      <c r="J57" s="39">
        <f t="shared" si="5"/>
        <v>59168.9786486839</v>
      </c>
      <c r="M57">
        <v>51</v>
      </c>
      <c r="N57" s="39">
        <f t="shared" si="6"/>
        <v>387649.46780943731</v>
      </c>
      <c r="O57" s="39">
        <f t="shared" si="21"/>
        <v>-259270.28034400861</v>
      </c>
      <c r="P57" s="39">
        <f t="shared" si="8"/>
        <v>128379.18746542869</v>
      </c>
      <c r="S57">
        <v>51</v>
      </c>
      <c r="T57" s="39">
        <f t="shared" si="9"/>
        <v>501501.74093471537</v>
      </c>
      <c r="U57" s="39">
        <f t="shared" si="10"/>
        <v>-307090.79595963797</v>
      </c>
      <c r="V57" s="39">
        <f t="shared" si="11"/>
        <v>194410.94497507741</v>
      </c>
      <c r="Y57">
        <v>51</v>
      </c>
      <c r="Z57" s="39">
        <f t="shared" si="12"/>
        <v>143286.21169563296</v>
      </c>
      <c r="AA57" s="39">
        <f t="shared" si="13"/>
        <v>-87740.227417039408</v>
      </c>
      <c r="AB57" s="39">
        <f t="shared" si="14"/>
        <v>55545.984278593547</v>
      </c>
      <c r="AE57">
        <v>51</v>
      </c>
      <c r="AF57" s="39">
        <f t="shared" si="15"/>
        <v>586008.13094771875</v>
      </c>
      <c r="AG57" s="39">
        <f t="shared" si="16"/>
        <v>-170450.63508994886</v>
      </c>
      <c r="AH57" s="39">
        <f t="shared" si="17"/>
        <v>415557.49585776986</v>
      </c>
    </row>
    <row r="58" spans="1:35" x14ac:dyDescent="0.25">
      <c r="A58">
        <v>52</v>
      </c>
      <c r="B58" s="39">
        <f t="shared" si="18"/>
        <v>494849.27571759518</v>
      </c>
      <c r="C58" s="39">
        <f t="shared" si="19"/>
        <v>-374301.95026330918</v>
      </c>
      <c r="D58" s="39">
        <f t="shared" si="3"/>
        <v>120547.32545428601</v>
      </c>
      <c r="G58">
        <v>52</v>
      </c>
      <c r="H58" s="39">
        <f t="shared" si="20"/>
        <v>209110.01724836571</v>
      </c>
      <c r="I58" s="39">
        <f t="shared" si="4"/>
        <v>-149546.57874202391</v>
      </c>
      <c r="J58" s="39">
        <f t="shared" si="5"/>
        <v>59563.438506341801</v>
      </c>
      <c r="M58">
        <v>52</v>
      </c>
      <c r="N58" s="39">
        <f t="shared" si="6"/>
        <v>387649.46780943731</v>
      </c>
      <c r="O58" s="39">
        <f t="shared" si="21"/>
        <v>-258521.40175046024</v>
      </c>
      <c r="P58" s="39">
        <f t="shared" si="8"/>
        <v>129128.06605897707</v>
      </c>
      <c r="S58">
        <v>52</v>
      </c>
      <c r="T58" s="39">
        <f t="shared" si="9"/>
        <v>501501.74093471537</v>
      </c>
      <c r="U58" s="39">
        <f t="shared" si="10"/>
        <v>-306118.74123476254</v>
      </c>
      <c r="V58" s="39">
        <f t="shared" si="11"/>
        <v>195382.99969995284</v>
      </c>
      <c r="Y58">
        <v>52</v>
      </c>
      <c r="Z58" s="39">
        <f t="shared" si="12"/>
        <v>143286.21169563296</v>
      </c>
      <c r="AA58" s="39">
        <f t="shared" si="13"/>
        <v>-87462.497495646428</v>
      </c>
      <c r="AB58" s="39">
        <f t="shared" si="14"/>
        <v>55823.714199986527</v>
      </c>
      <c r="AE58">
        <v>52</v>
      </c>
      <c r="AF58" s="39">
        <f t="shared" si="15"/>
        <v>586008.13094771875</v>
      </c>
      <c r="AG58" s="39">
        <f t="shared" si="16"/>
        <v>-167333.95387101558</v>
      </c>
      <c r="AH58" s="39">
        <f t="shared" si="17"/>
        <v>418674.17707670317</v>
      </c>
    </row>
    <row r="59" spans="1:35" x14ac:dyDescent="0.25">
      <c r="A59">
        <v>53</v>
      </c>
      <c r="B59" s="39">
        <f t="shared" si="18"/>
        <v>494849.27571759518</v>
      </c>
      <c r="C59" s="39">
        <f t="shared" si="19"/>
        <v>-373397.84532240208</v>
      </c>
      <c r="D59" s="39">
        <f t="shared" si="3"/>
        <v>121451.43039519311</v>
      </c>
      <c r="G59">
        <v>53</v>
      </c>
      <c r="H59" s="39">
        <f t="shared" si="20"/>
        <v>209110.01724836571</v>
      </c>
      <c r="I59" s="39">
        <f t="shared" si="4"/>
        <v>-149149.48915198166</v>
      </c>
      <c r="J59" s="39">
        <f t="shared" si="5"/>
        <v>59960.528096384049</v>
      </c>
      <c r="M59">
        <v>53</v>
      </c>
      <c r="N59" s="39">
        <f t="shared" si="6"/>
        <v>387649.46780943731</v>
      </c>
      <c r="O59" s="39">
        <f t="shared" si="21"/>
        <v>-257768.15469844954</v>
      </c>
      <c r="P59" s="39">
        <f t="shared" si="8"/>
        <v>129881.31311098777</v>
      </c>
      <c r="S59">
        <v>53</v>
      </c>
      <c r="T59" s="39">
        <f t="shared" si="9"/>
        <v>501501.74093471537</v>
      </c>
      <c r="U59" s="39">
        <f t="shared" si="10"/>
        <v>-305141.8262362628</v>
      </c>
      <c r="V59" s="39">
        <f t="shared" si="11"/>
        <v>196359.91469845257</v>
      </c>
      <c r="Y59">
        <v>53</v>
      </c>
      <c r="Z59" s="39">
        <f t="shared" si="12"/>
        <v>143286.21169563296</v>
      </c>
      <c r="AA59" s="39">
        <f t="shared" si="13"/>
        <v>-87183.378924646517</v>
      </c>
      <c r="AB59" s="39">
        <f t="shared" si="14"/>
        <v>56102.832770986439</v>
      </c>
      <c r="AE59">
        <v>53</v>
      </c>
      <c r="AF59" s="39">
        <f t="shared" si="15"/>
        <v>586008.13094771875</v>
      </c>
      <c r="AG59" s="39">
        <f t="shared" si="16"/>
        <v>-164193.89754294034</v>
      </c>
      <c r="AH59" s="39">
        <f t="shared" si="17"/>
        <v>421814.23340477841</v>
      </c>
    </row>
    <row r="60" spans="1:35" x14ac:dyDescent="0.25">
      <c r="A60">
        <v>54</v>
      </c>
      <c r="B60" s="39">
        <f t="shared" si="18"/>
        <v>494849.27571759518</v>
      </c>
      <c r="C60" s="39">
        <f t="shared" si="19"/>
        <v>-372486.95959443814</v>
      </c>
      <c r="D60" s="39">
        <f t="shared" si="3"/>
        <v>122362.31612315704</v>
      </c>
      <c r="G60">
        <v>54</v>
      </c>
      <c r="H60" s="39">
        <f t="shared" si="20"/>
        <v>209110.01724836571</v>
      </c>
      <c r="I60" s="39">
        <f t="shared" si="4"/>
        <v>-148749.75229800574</v>
      </c>
      <c r="J60" s="39">
        <f t="shared" si="5"/>
        <v>60360.264950359968</v>
      </c>
      <c r="M60">
        <v>54</v>
      </c>
      <c r="N60" s="39">
        <f t="shared" si="6"/>
        <v>387649.46780943731</v>
      </c>
      <c r="O60" s="39">
        <f t="shared" si="21"/>
        <v>-257010.51370530212</v>
      </c>
      <c r="P60" s="39">
        <f t="shared" si="8"/>
        <v>130638.95410413519</v>
      </c>
      <c r="S60">
        <v>54</v>
      </c>
      <c r="T60" s="39">
        <f t="shared" si="9"/>
        <v>501501.74093471537</v>
      </c>
      <c r="U60" s="39">
        <f t="shared" si="10"/>
        <v>-304160.02666277048</v>
      </c>
      <c r="V60" s="39">
        <f t="shared" si="11"/>
        <v>197341.71427194489</v>
      </c>
      <c r="Y60">
        <v>54</v>
      </c>
      <c r="Z60" s="39">
        <f t="shared" si="12"/>
        <v>143286.21169563296</v>
      </c>
      <c r="AA60" s="39">
        <f t="shared" si="13"/>
        <v>-86902.864760791563</v>
      </c>
      <c r="AB60" s="39">
        <f t="shared" si="14"/>
        <v>56383.346934841393</v>
      </c>
      <c r="AE60">
        <v>54</v>
      </c>
      <c r="AF60" s="39">
        <f t="shared" si="15"/>
        <v>586008.13094771875</v>
      </c>
      <c r="AG60" s="39">
        <f t="shared" si="16"/>
        <v>-161030.2907924045</v>
      </c>
      <c r="AH60" s="39">
        <f t="shared" si="17"/>
        <v>424977.84015531425</v>
      </c>
    </row>
    <row r="61" spans="1:35" x14ac:dyDescent="0.25">
      <c r="A61">
        <v>55</v>
      </c>
      <c r="B61" s="39">
        <f t="shared" si="18"/>
        <v>494849.27571759518</v>
      </c>
      <c r="C61" s="39">
        <f t="shared" si="19"/>
        <v>-371569.24222351448</v>
      </c>
      <c r="D61" s="39">
        <f t="shared" si="3"/>
        <v>123280.03349408071</v>
      </c>
      <c r="G61">
        <v>55</v>
      </c>
      <c r="H61" s="39">
        <f t="shared" si="20"/>
        <v>209110.01724836571</v>
      </c>
      <c r="I61" s="39">
        <f t="shared" si="4"/>
        <v>-148347.35053167</v>
      </c>
      <c r="J61" s="39">
        <f t="shared" si="5"/>
        <v>60762.666716695705</v>
      </c>
      <c r="M61">
        <v>55</v>
      </c>
      <c r="N61" s="39">
        <f t="shared" si="6"/>
        <v>387649.46780943731</v>
      </c>
      <c r="O61" s="39">
        <f t="shared" si="21"/>
        <v>-256248.45313969467</v>
      </c>
      <c r="P61" s="39">
        <f t="shared" si="8"/>
        <v>131401.01466974264</v>
      </c>
      <c r="S61">
        <v>55</v>
      </c>
      <c r="T61" s="39">
        <f t="shared" si="9"/>
        <v>501501.74093471537</v>
      </c>
      <c r="U61" s="39">
        <f t="shared" si="10"/>
        <v>-303173.31809141074</v>
      </c>
      <c r="V61" s="39">
        <f t="shared" si="11"/>
        <v>198328.42284330464</v>
      </c>
      <c r="Y61">
        <v>55</v>
      </c>
      <c r="Z61" s="39">
        <f t="shared" si="12"/>
        <v>143286.21169563296</v>
      </c>
      <c r="AA61" s="39">
        <f t="shared" si="13"/>
        <v>-86620.948026117345</v>
      </c>
      <c r="AB61" s="39">
        <f t="shared" si="14"/>
        <v>56665.263669515611</v>
      </c>
      <c r="AE61">
        <v>55</v>
      </c>
      <c r="AF61" s="39">
        <f t="shared" si="15"/>
        <v>586008.13094771875</v>
      </c>
      <c r="AG61" s="39">
        <f t="shared" si="16"/>
        <v>-157842.9569912396</v>
      </c>
      <c r="AH61" s="39">
        <f t="shared" si="17"/>
        <v>428165.17395647918</v>
      </c>
    </row>
    <row r="62" spans="1:35" x14ac:dyDescent="0.25">
      <c r="A62">
        <v>56</v>
      </c>
      <c r="B62" s="39">
        <f t="shared" si="18"/>
        <v>494849.27571759518</v>
      </c>
      <c r="C62" s="39">
        <f t="shared" si="19"/>
        <v>-370644.64197230886</v>
      </c>
      <c r="D62" s="39">
        <f t="shared" si="3"/>
        <v>124204.63374528632</v>
      </c>
      <c r="G62">
        <v>56</v>
      </c>
      <c r="H62" s="39">
        <f t="shared" si="20"/>
        <v>209110.01724836571</v>
      </c>
      <c r="I62" s="39">
        <f t="shared" si="4"/>
        <v>-147942.26608689205</v>
      </c>
      <c r="J62" s="39">
        <f t="shared" si="5"/>
        <v>61167.751161473658</v>
      </c>
      <c r="M62">
        <v>56</v>
      </c>
      <c r="N62" s="39">
        <f t="shared" si="6"/>
        <v>387649.46780943731</v>
      </c>
      <c r="O62" s="39">
        <f t="shared" si="21"/>
        <v>-255481.94722078781</v>
      </c>
      <c r="P62" s="39">
        <f t="shared" si="8"/>
        <v>132167.5205886495</v>
      </c>
      <c r="S62">
        <v>56</v>
      </c>
      <c r="T62" s="39">
        <f t="shared" si="9"/>
        <v>501501.74093471537</v>
      </c>
      <c r="U62" s="39">
        <f t="shared" si="10"/>
        <v>-302181.67597719422</v>
      </c>
      <c r="V62" s="39">
        <f t="shared" si="11"/>
        <v>199320.06495752116</v>
      </c>
      <c r="Y62">
        <v>56</v>
      </c>
      <c r="Z62" s="39">
        <f t="shared" si="12"/>
        <v>143286.21169563296</v>
      </c>
      <c r="AA62" s="39">
        <f t="shared" si="13"/>
        <v>-86337.62170776978</v>
      </c>
      <c r="AB62" s="39">
        <f t="shared" si="14"/>
        <v>56948.589987863175</v>
      </c>
      <c r="AE62">
        <v>56</v>
      </c>
      <c r="AF62" s="39">
        <f t="shared" si="15"/>
        <v>586008.13094771875</v>
      </c>
      <c r="AG62" s="39">
        <f t="shared" si="16"/>
        <v>-154631.71818656605</v>
      </c>
      <c r="AH62" s="39">
        <f t="shared" si="17"/>
        <v>431376.41276115272</v>
      </c>
    </row>
    <row r="63" spans="1:35" x14ac:dyDescent="0.25">
      <c r="A63">
        <v>57</v>
      </c>
      <c r="B63" s="39">
        <f t="shared" si="18"/>
        <v>494849.27571759518</v>
      </c>
      <c r="C63" s="39">
        <f t="shared" si="19"/>
        <v>-369713.10721921921</v>
      </c>
      <c r="D63" s="39">
        <f t="shared" si="3"/>
        <v>125136.16849837598</v>
      </c>
      <c r="G63">
        <v>57</v>
      </c>
      <c r="H63" s="39">
        <f t="shared" si="20"/>
        <v>209110.01724836571</v>
      </c>
      <c r="I63" s="39">
        <f t="shared" si="4"/>
        <v>-147534.48107914889</v>
      </c>
      <c r="J63" s="39">
        <f t="shared" si="5"/>
        <v>61575.536169216823</v>
      </c>
      <c r="M63">
        <v>57</v>
      </c>
      <c r="N63" s="39">
        <f t="shared" si="6"/>
        <v>387649.46780943731</v>
      </c>
      <c r="O63" s="39">
        <f t="shared" si="21"/>
        <v>-254710.97001735403</v>
      </c>
      <c r="P63" s="39">
        <f t="shared" si="8"/>
        <v>132938.49779208328</v>
      </c>
      <c r="S63">
        <v>57</v>
      </c>
      <c r="T63" s="39">
        <f t="shared" si="9"/>
        <v>501501.74093471537</v>
      </c>
      <c r="U63" s="39">
        <f t="shared" si="10"/>
        <v>-301185.07565240667</v>
      </c>
      <c r="V63" s="39">
        <f t="shared" si="11"/>
        <v>200316.66528230871</v>
      </c>
      <c r="Y63">
        <v>57</v>
      </c>
      <c r="Z63" s="39">
        <f t="shared" si="12"/>
        <v>143286.21169563296</v>
      </c>
      <c r="AA63" s="39">
        <f t="shared" si="13"/>
        <v>-86052.878757830462</v>
      </c>
      <c r="AB63" s="39">
        <f t="shared" si="14"/>
        <v>57233.332937802494</v>
      </c>
      <c r="AE63">
        <v>57</v>
      </c>
      <c r="AF63" s="39">
        <f t="shared" si="15"/>
        <v>586008.13094771875</v>
      </c>
      <c r="AG63" s="39">
        <f t="shared" si="16"/>
        <v>-151396.39509085738</v>
      </c>
      <c r="AH63" s="39">
        <f t="shared" si="17"/>
        <v>434611.73585686134</v>
      </c>
    </row>
    <row r="64" spans="1:35" x14ac:dyDescent="0.25">
      <c r="A64">
        <v>58</v>
      </c>
      <c r="B64" s="39">
        <f t="shared" si="18"/>
        <v>494849.27571759518</v>
      </c>
      <c r="C64" s="39">
        <f t="shared" si="19"/>
        <v>-368774.58595548139</v>
      </c>
      <c r="D64" s="39">
        <f t="shared" si="3"/>
        <v>126074.68976211379</v>
      </c>
      <c r="G64">
        <v>58</v>
      </c>
      <c r="H64" s="39">
        <f t="shared" si="20"/>
        <v>209110.01724836571</v>
      </c>
      <c r="I64" s="39">
        <f t="shared" si="4"/>
        <v>-147123.97750468747</v>
      </c>
      <c r="J64" s="39">
        <f t="shared" si="5"/>
        <v>61986.039743678237</v>
      </c>
      <c r="M64">
        <v>58</v>
      </c>
      <c r="N64" s="39">
        <f t="shared" si="6"/>
        <v>387649.46780943731</v>
      </c>
      <c r="O64" s="39">
        <f t="shared" si="21"/>
        <v>-253935.49544690023</v>
      </c>
      <c r="P64" s="39">
        <f t="shared" si="8"/>
        <v>133713.97236253708</v>
      </c>
      <c r="S64">
        <v>58</v>
      </c>
      <c r="T64" s="39">
        <f t="shared" si="9"/>
        <v>501501.74093471537</v>
      </c>
      <c r="U64" s="39">
        <f t="shared" si="10"/>
        <v>-300183.49232599512</v>
      </c>
      <c r="V64" s="39">
        <f t="shared" si="11"/>
        <v>201318.24860872026</v>
      </c>
      <c r="Y64">
        <v>58</v>
      </c>
      <c r="Z64" s="39">
        <f t="shared" si="12"/>
        <v>143286.21169563296</v>
      </c>
      <c r="AA64" s="39">
        <f t="shared" si="13"/>
        <v>-85766.712093141454</v>
      </c>
      <c r="AB64" s="39">
        <f t="shared" si="14"/>
        <v>57519.499602491502</v>
      </c>
      <c r="AE64">
        <v>58</v>
      </c>
      <c r="AF64" s="39">
        <f t="shared" si="15"/>
        <v>586008.13094771875</v>
      </c>
      <c r="AG64" s="39">
        <f t="shared" si="16"/>
        <v>-148136.80707193093</v>
      </c>
      <c r="AH64" s="39">
        <f t="shared" si="17"/>
        <v>437871.32387578778</v>
      </c>
    </row>
    <row r="65" spans="1:35" x14ac:dyDescent="0.25">
      <c r="A65">
        <v>59</v>
      </c>
      <c r="B65" s="39">
        <f t="shared" si="18"/>
        <v>494849.27571759518</v>
      </c>
      <c r="C65" s="39">
        <f t="shared" si="19"/>
        <v>-367829.02578226553</v>
      </c>
      <c r="D65" s="39">
        <f t="shared" si="3"/>
        <v>127020.24993532966</v>
      </c>
      <c r="G65">
        <v>59</v>
      </c>
      <c r="H65" s="39">
        <f t="shared" si="20"/>
        <v>209110.01724836571</v>
      </c>
      <c r="I65" s="39">
        <f t="shared" si="4"/>
        <v>-146710.73723972958</v>
      </c>
      <c r="J65" s="39">
        <f t="shared" si="5"/>
        <v>62399.280008636124</v>
      </c>
      <c r="M65">
        <v>59</v>
      </c>
      <c r="N65" s="39">
        <f t="shared" si="6"/>
        <v>387649.46780943731</v>
      </c>
      <c r="O65" s="39">
        <f t="shared" si="21"/>
        <v>-253155.49727478545</v>
      </c>
      <c r="P65" s="39">
        <f t="shared" si="8"/>
        <v>134493.97053465186</v>
      </c>
      <c r="S65">
        <v>59</v>
      </c>
      <c r="T65" s="39">
        <f t="shared" si="9"/>
        <v>501501.74093471537</v>
      </c>
      <c r="U65" s="39">
        <f t="shared" si="10"/>
        <v>-299176.90108295146</v>
      </c>
      <c r="V65" s="39">
        <f t="shared" si="11"/>
        <v>202324.83985176391</v>
      </c>
      <c r="Y65">
        <v>59</v>
      </c>
      <c r="Z65" s="39">
        <f t="shared" si="12"/>
        <v>143286.21169563296</v>
      </c>
      <c r="AA65" s="39">
        <f t="shared" si="13"/>
        <v>-85479.114595128995</v>
      </c>
      <c r="AB65" s="39">
        <f t="shared" si="14"/>
        <v>57807.097100503961</v>
      </c>
      <c r="AE65">
        <v>59</v>
      </c>
      <c r="AF65" s="39">
        <f t="shared" si="15"/>
        <v>586008.13094771875</v>
      </c>
      <c r="AG65" s="39">
        <f t="shared" si="16"/>
        <v>-144852.77214286252</v>
      </c>
      <c r="AH65" s="39">
        <f t="shared" si="17"/>
        <v>441155.35880485619</v>
      </c>
    </row>
    <row r="66" spans="1:35" x14ac:dyDescent="0.25">
      <c r="A66">
        <v>60</v>
      </c>
      <c r="B66" s="39">
        <f t="shared" si="18"/>
        <v>494849.27571759518</v>
      </c>
      <c r="C66" s="39">
        <f t="shared" si="19"/>
        <v>-366876.37390775047</v>
      </c>
      <c r="D66" s="39">
        <f t="shared" si="3"/>
        <v>127972.90180984471</v>
      </c>
      <c r="E66" s="39">
        <f>SUM(C55:C66)</f>
        <v>-4463857.1597135644</v>
      </c>
      <c r="G66">
        <v>60</v>
      </c>
      <c r="H66" s="39">
        <f t="shared" si="20"/>
        <v>209110.01724836571</v>
      </c>
      <c r="I66" s="39">
        <f t="shared" si="4"/>
        <v>-146294.74203967198</v>
      </c>
      <c r="J66" s="39">
        <f t="shared" si="5"/>
        <v>62815.275208693725</v>
      </c>
      <c r="K66" s="39">
        <f>SUM(I55:I66)</f>
        <v>-1782395.4380781897</v>
      </c>
      <c r="M66">
        <v>60</v>
      </c>
      <c r="N66" s="39">
        <f t="shared" si="6"/>
        <v>387649.46780943731</v>
      </c>
      <c r="O66" s="39">
        <f t="shared" si="21"/>
        <v>-252370.94911333328</v>
      </c>
      <c r="P66" s="39">
        <f t="shared" si="8"/>
        <v>135278.51869610403</v>
      </c>
      <c r="Q66" s="39">
        <f>SUM(O55:O66)</f>
        <v>-3079243.5118733966</v>
      </c>
      <c r="S66">
        <v>60</v>
      </c>
      <c r="T66" s="39">
        <f t="shared" si="9"/>
        <v>501501.74093471537</v>
      </c>
      <c r="U66" s="39">
        <f t="shared" si="10"/>
        <v>-298165.27688369271</v>
      </c>
      <c r="V66" s="39">
        <f t="shared" si="11"/>
        <v>203336.46405102266</v>
      </c>
      <c r="W66" s="39">
        <f>SUM(U55:U66)</f>
        <v>-3643655.5658885175</v>
      </c>
      <c r="Y66">
        <v>60</v>
      </c>
      <c r="Z66" s="39">
        <f t="shared" si="12"/>
        <v>143286.21169563296</v>
      </c>
      <c r="AA66" s="39">
        <f t="shared" si="13"/>
        <v>-85190.079109626487</v>
      </c>
      <c r="AB66" s="39">
        <f t="shared" si="14"/>
        <v>58096.132586006468</v>
      </c>
      <c r="AC66" s="39">
        <f>SUM(AA55:AA66)</f>
        <v>-1041044.4473967191</v>
      </c>
      <c r="AE66">
        <v>60</v>
      </c>
      <c r="AF66" s="39">
        <f t="shared" si="15"/>
        <v>586008.13094771875</v>
      </c>
      <c r="AG66" s="39">
        <f t="shared" si="16"/>
        <v>-141544.10695182611</v>
      </c>
      <c r="AH66" s="39">
        <f t="shared" si="17"/>
        <v>444464.02399589261</v>
      </c>
      <c r="AI66" s="39">
        <f>SUM(AG55:AG66)</f>
        <v>-1911572.2158776578</v>
      </c>
    </row>
    <row r="67" spans="1:35" x14ac:dyDescent="0.25">
      <c r="E67" s="39">
        <f>SUM(D55:D66)</f>
        <v>1474334.1488975782</v>
      </c>
      <c r="K67" s="39">
        <f>SUM(J55:J66)</f>
        <v>726924.76890219841</v>
      </c>
      <c r="Q67" s="39">
        <f>SUM(P55:P66)</f>
        <v>1572550.1018398511</v>
      </c>
      <c r="W67" s="39">
        <f>SUM(V55:V66)</f>
        <v>2374365.3253280669</v>
      </c>
      <c r="AC67" s="39">
        <f>SUM(AB55:AB66)</f>
        <v>678390.09295087622</v>
      </c>
      <c r="AI67" s="39">
        <f>SUM(AH55:AH66)</f>
        <v>5120525.3554949686</v>
      </c>
    </row>
    <row r="68" spans="1:35" x14ac:dyDescent="0.25">
      <c r="C68" s="39">
        <f>SUM(C7:C66)</f>
        <v>-23479833.495612599</v>
      </c>
      <c r="D68" s="39">
        <f>SUM(D7:D66)</f>
        <v>6211123.0474431086</v>
      </c>
      <c r="E68" s="39">
        <f>SUM(E66,E54,E42,E30,E18)</f>
        <v>-23479833.495612606</v>
      </c>
    </row>
    <row r="69" spans="1:35" x14ac:dyDescent="0.25">
      <c r="E69" s="39">
        <f>SUM(E67,E55,E43,E31,E19)</f>
        <v>6211123.0474431068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basic</vt:lpstr>
      <vt:lpstr>variables</vt:lpstr>
      <vt:lpstr>ANALYSIS</vt:lpstr>
      <vt:lpstr>Income FRESH24</vt:lpstr>
      <vt:lpstr>Cash flow FRESH24</vt:lpstr>
      <vt:lpstr>loan 1 FRESH24</vt:lpstr>
      <vt:lpstr>Income MAJESTIC</vt:lpstr>
      <vt:lpstr>Cash flow MAJESTIC</vt:lpstr>
      <vt:lpstr>loan 1Majestic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zuleta</dc:creator>
  <cp:lastModifiedBy>mauricio zuleta</cp:lastModifiedBy>
  <dcterms:created xsi:type="dcterms:W3CDTF">2025-09-21T01:25:04Z</dcterms:created>
  <dcterms:modified xsi:type="dcterms:W3CDTF">2025-11-21T16:03:23Z</dcterms:modified>
</cp:coreProperties>
</file>